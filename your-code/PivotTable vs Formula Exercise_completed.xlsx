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Questions" sheetId="1" state="visible" r:id="rId3"/>
    <sheet name="data" sheetId="2" state="visible" r:id="rId4"/>
    <sheet name="PivotTable Solution" sheetId="3" state="visible" r:id="rId5"/>
    <sheet name="Formula Solution" sheetId="4" state="visible" r:id="rId6"/>
  </sheets>
  <definedNames>
    <definedName function="false" hidden="true" localSheetId="1" name="_xlnm._FilterDatabase" vbProcedure="false">data!$A$1:$E$39</definedName>
    <definedName function="false" hidden="false" name="data" vbProcedure="false">data!$A$1:$F$39</definedName>
    <definedName function="false" hidden="false" name="miLista" vbProcedure="false">data!$A$1:$F$39</definedName>
    <definedName function="false" hidden="false" name="ShoppingTransactions" vbProcedure="false">data!$A$1:$F$39</definedName>
    <definedName function="false" hidden="false" localSheetId="1" name="ARTÍCULOS" vbProcedure="false">data!$A$1:$E$38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<sst xmlns="http://schemas.openxmlformats.org/spreadsheetml/2006/main" count="231" uniqueCount="87">
  <si>
    <t xml:space="preserve">In the data sheet you have shopping transactions</t>
  </si>
  <si>
    <t xml:space="preserve">In this exercise you have to make some calculations using your PivotTable and formulae, which will be more suitable? In any case?</t>
  </si>
  <si>
    <t xml:space="preserve">- Firstly, rename the raw table. Give the name you want</t>
  </si>
  <si>
    <t xml:space="preserve">- Calculate the number of items and the total price by year (columns) and article (rows)</t>
  </si>
  <si>
    <t xml:space="preserve">- Replicate the calculations using formulas, such as SUMIFS or COUNTIFS. Probably you need to create a new column with year information</t>
  </si>
  <si>
    <t xml:space="preserve">Your solution must be like in the image. Watch out for the references, do you think they are completely correct? Or do you think it could be helpful to manage relative and absolute references?</t>
  </si>
  <si>
    <t xml:space="preserve">Completed answers</t>
  </si>
  <si>
    <t xml:space="preserve">1. Raw table name</t>
  </si>
  <si>
    <t xml:space="preserve">ShoppingTransactions (Excel Table; A1:F39).</t>
  </si>
  <si>
    <t xml:space="preserve">2. Helper field</t>
  </si>
  <si>
    <t xml:space="preserve">A Year column was added to the data sheet using =YEAR(C2) and filled down.</t>
  </si>
  <si>
    <t xml:space="preserve">3. PivotTable result</t>
  </si>
  <si>
    <t xml:space="preserve">PivotTable Solution summarises the number of transactions and total price by article and by year (2018 and 2019).</t>
  </si>
  <si>
    <t xml:space="preserve">4. Formula result</t>
  </si>
  <si>
    <t xml:space="preserve">Formula Solution reproduces the same calculations with COUNTIFS and SUMIFS.</t>
  </si>
  <si>
    <t xml:space="preserve">5. Which is more suitable?</t>
  </si>
  <si>
    <t xml:space="preserve">A PivotTable is generally more suitable for quick summaries and exploration. Formulae are better for a fixed report layout, custom logic, or cell-level control.</t>
  </si>
  <si>
    <t xml:space="preserve">6. References</t>
  </si>
  <si>
    <t xml:space="preserve">Mixed references are useful: $A4 fixes the article column, B$2 fixes the year row, and source ranges remain absolute. This allows safe copying across and down.</t>
  </si>
  <si>
    <t xml:space="preserve">7. Validation</t>
  </si>
  <si>
    <t xml:space="preserve">The two solution sheets use the same source data and should reconcile to the same grand totals.</t>
  </si>
  <si>
    <t xml:space="preserve">Section</t>
  </si>
  <si>
    <t xml:space="preserve">Item</t>
  </si>
  <si>
    <t xml:space="preserve">Date</t>
  </si>
  <si>
    <t xml:space="preserve">Country</t>
  </si>
  <si>
    <t xml:space="preserve">Price</t>
  </si>
  <si>
    <t xml:space="preserve">Year</t>
  </si>
  <si>
    <t xml:space="preserve">Completed exercise note</t>
  </si>
  <si>
    <t xml:space="preserve">CERAMICS</t>
  </si>
  <si>
    <t xml:space="preserve">Pipes</t>
  </si>
  <si>
    <t xml:space="preserve">China</t>
  </si>
  <si>
    <t xml:space="preserve">Raw transaction table renamed to ShoppingTransactions; Year helper column added in F.</t>
  </si>
  <si>
    <t xml:space="preserve">Decorative Plate</t>
  </si>
  <si>
    <t xml:space="preserve">Tea Set</t>
  </si>
  <si>
    <t xml:space="preserve">Ashtray</t>
  </si>
  <si>
    <t xml:space="preserve">Japan</t>
  </si>
  <si>
    <t xml:space="preserve">Flower Pot</t>
  </si>
  <si>
    <t xml:space="preserve">Spain</t>
  </si>
  <si>
    <t xml:space="preserve">China Pitcher</t>
  </si>
  <si>
    <t xml:space="preserve">CLOTHING</t>
  </si>
  <si>
    <t xml:space="preserve">Men's Card</t>
  </si>
  <si>
    <t xml:space="preserve">Italy</t>
  </si>
  <si>
    <t xml:space="preserve">Women's Pants</t>
  </si>
  <si>
    <t xml:space="preserve">Morocco</t>
  </si>
  <si>
    <t xml:space="preserve">Men's Shirt</t>
  </si>
  <si>
    <t xml:space="preserve">Women's Blouse</t>
  </si>
  <si>
    <t xml:space="preserve">Leather Jacket</t>
  </si>
  <si>
    <t xml:space="preserve">Men's Coat</t>
  </si>
  <si>
    <t xml:space="preserve">Women's Coat</t>
  </si>
  <si>
    <t xml:space="preserve">Leather Belt</t>
  </si>
  <si>
    <t xml:space="preserve">SPORTS</t>
  </si>
  <si>
    <t xml:space="preserve">Tennis Racket</t>
  </si>
  <si>
    <t xml:space="preserve">USA</t>
  </si>
  <si>
    <t xml:space="preserve">Tracksuit</t>
  </si>
  <si>
    <t xml:space="preserve">Electric Train</t>
  </si>
  <si>
    <t xml:space="preserve">Olympic Pistol</t>
  </si>
  <si>
    <t xml:space="preserve">Sweden</t>
  </si>
  <si>
    <t xml:space="preserve">Skateboard</t>
  </si>
  <si>
    <t xml:space="preserve">Basketball</t>
  </si>
  <si>
    <t xml:space="preserve">Soccer Ball</t>
  </si>
  <si>
    <t xml:space="preserve">Sweatshirt</t>
  </si>
  <si>
    <t xml:space="preserve">Mountain Bike</t>
  </si>
  <si>
    <t xml:space="preserve">HARDWARE</t>
  </si>
  <si>
    <t xml:space="preserve">Screwdriver</t>
  </si>
  <si>
    <t xml:space="preserve">Handsaw</t>
  </si>
  <si>
    <t xml:space="preserve">France</t>
  </si>
  <si>
    <t xml:space="preserve">Wrench</t>
  </si>
  <si>
    <t xml:space="preserve">Pliers</t>
  </si>
  <si>
    <t xml:space="preserve">Hammer</t>
  </si>
  <si>
    <t xml:space="preserve">Large File</t>
  </si>
  <si>
    <t xml:space="preserve">Drill Bit Set</t>
  </si>
  <si>
    <t xml:space="preserve">Taiwan</t>
  </si>
  <si>
    <t xml:space="preserve">TOYS</t>
  </si>
  <si>
    <t xml:space="preserve">Remote Control Car</t>
  </si>
  <si>
    <t xml:space="preserve">Walker</t>
  </si>
  <si>
    <t xml:space="preserve">Video Game Console</t>
  </si>
  <si>
    <t xml:space="preserve">Walking Doll</t>
  </si>
  <si>
    <t xml:space="preserve">Soldier Fort</t>
  </si>
  <si>
    <t xml:space="preserve">Sound Gun</t>
  </si>
  <si>
    <t xml:space="preserve">Lamp Base</t>
  </si>
  <si>
    <t xml:space="preserve">Turkey</t>
  </si>
  <si>
    <t xml:space="preserve">PivotTable-style summary: number of items and total price by year and article</t>
  </si>
  <si>
    <t xml:space="preserve">Article</t>
  </si>
  <si>
    <t xml:space="preserve">Count</t>
  </si>
  <si>
    <t xml:space="preserve">Total Price</t>
  </si>
  <si>
    <t xml:space="preserve">Grand Total</t>
  </si>
  <si>
    <t xml:space="preserve">Formula solution using COUNTIFS and SUMIFS</t>
  </si>
</sst>
</file>

<file path=xl/styles.xml><?xml version="1.0" encoding="utf-8"?>
<styleSheet xmlns="http://schemas.openxmlformats.org/spreadsheetml/2006/main">
  <numFmts count="4">
    <numFmt numFmtId="164" formatCode="General"/>
    <numFmt numFmtId="165" formatCode="_-* #,##0.00[$€]_-;\-* #,##0.00[$€]_-;_-* \-??[$€]_-;_-@_-"/>
    <numFmt numFmtId="166" formatCode="m/d/yyyy"/>
    <numFmt numFmtId="167" formatCode="#,##0.00"/>
  </numFmts>
  <fonts count="9">
    <font>
      <sz val="10"/>
      <name val="MS Sans Serif"/>
      <family val="0"/>
      <charset val="1"/>
    </font>
    <font>
      <sz val="10"/>
      <name val="Arial"/>
      <family val="0"/>
    </font>
    <font>
      <sz val="10"/>
      <name val="Arial"/>
      <family val="0"/>
    </font>
    <font>
      <sz val="10"/>
      <name val="Arial"/>
      <family val="0"/>
    </font>
    <font>
      <sz val="10"/>
      <name val="MS Sans Serif"/>
      <family val="2"/>
      <charset val="1"/>
    </font>
    <font>
      <b val="true"/>
      <sz val="10"/>
      <name val="MS Sans Serif"/>
      <family val="0"/>
      <charset val="1"/>
    </font>
    <font>
      <b val="true"/>
      <sz val="14"/>
      <name val="Cambria"/>
      <family val="0"/>
      <charset val="1"/>
    </font>
    <font>
      <b val="true"/>
      <sz val="11"/>
      <name val="Cambria"/>
      <family val="0"/>
      <charset val="1"/>
    </font>
    <font>
      <sz val="12"/>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2"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6" fontId="8" fillId="2"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2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dxfs count="2">
    <dxf>
      <fill>
        <patternFill patternType="solid">
          <fgColor rgb="FFFFFF00"/>
          <bgColor rgb="FF000000"/>
        </patternFill>
      </fill>
    </dxf>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11</xdr:row>
      <xdr:rowOff>64440</xdr:rowOff>
    </xdr:from>
    <xdr:to>
      <xdr:col>11</xdr:col>
      <xdr:colOff>365760</xdr:colOff>
      <xdr:row>29</xdr:row>
      <xdr:rowOff>3240</xdr:rowOff>
    </xdr:to>
    <xdr:pic>
      <xdr:nvPicPr>
        <xdr:cNvPr id="0" name="Picture 2" descr=""/>
        <xdr:cNvPicPr/>
      </xdr:nvPicPr>
      <xdr:blipFill>
        <a:blip r:embed="rId1"/>
        <a:stretch/>
      </xdr:blipFill>
      <xdr:spPr>
        <a:xfrm>
          <a:off x="114480" y="1845720"/>
          <a:ext cx="15302520" cy="32446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ShoppingTransactions" displayName="ShoppingTransactions" ref="A1:F39" headerRowCount="1" totalsRowCount="0" totalsRowShown="0">
  <autoFilter ref="A1:F39"/>
  <tableColumns count="6">
    <tableColumn id="1" name="Section"/>
    <tableColumn id="2" name="Item"/>
    <tableColumn id="3" name="Date"/>
    <tableColumn id="4" name="Country"/>
    <tableColumn id="5" name="Price"/>
    <tableColumn id="6" name="Year"/>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7"/>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A9" activeCellId="0" sqref="A9"/>
    </sheetView>
  </sheetViews>
  <sheetFormatPr defaultColWidth="8.66015625" defaultRowHeight="12" customHeight="true" zeroHeight="false" outlineLevelRow="0" outlineLevelCol="0"/>
  <cols>
    <col collapsed="false" customWidth="true" hidden="false" outlineLevel="0" max="1" min="1" style="0" width="30"/>
    <col collapsed="false" customWidth="true" hidden="false" outlineLevel="0" max="2" min="2" style="0" width="100"/>
  </cols>
  <sheetData>
    <row r="2" customFormat="false" ht="12" hidden="false" customHeight="false" outlineLevel="0" collapsed="false">
      <c r="A2" s="1" t="s">
        <v>0</v>
      </c>
    </row>
    <row r="3" customFormat="false" ht="12" hidden="false" customHeight="false" outlineLevel="0" collapsed="false">
      <c r="A3" s="2" t="s">
        <v>1</v>
      </c>
    </row>
    <row r="4" customFormat="false" ht="12" hidden="false" customHeight="false" outlineLevel="0" collapsed="false">
      <c r="A4" s="2" t="s">
        <v>2</v>
      </c>
    </row>
    <row r="5" customFormat="false" ht="12" hidden="false" customHeight="false" outlineLevel="0" collapsed="false">
      <c r="A5" s="2" t="s">
        <v>3</v>
      </c>
    </row>
    <row r="6" customFormat="false" ht="12" hidden="false" customHeight="false" outlineLevel="0" collapsed="false">
      <c r="A6" s="2" t="s">
        <v>4</v>
      </c>
    </row>
    <row r="8" customFormat="false" ht="12" hidden="false" customHeight="false" outlineLevel="0" collapsed="false">
      <c r="A8" s="3" t="s">
        <v>5</v>
      </c>
    </row>
    <row r="10" customFormat="false" ht="17.35" hidden="false" customHeight="false" outlineLevel="0" collapsed="false">
      <c r="A10" s="4" t="s">
        <v>6</v>
      </c>
      <c r="B10" s="5"/>
    </row>
    <row r="11" customFormat="false" ht="14.9" hidden="false" customHeight="false" outlineLevel="0" collapsed="false">
      <c r="A11" s="6" t="s">
        <v>7</v>
      </c>
      <c r="B11" s="5" t="s">
        <v>8</v>
      </c>
    </row>
    <row r="12" customFormat="false" ht="14.9" hidden="false" customHeight="false" outlineLevel="0" collapsed="false">
      <c r="A12" s="6" t="s">
        <v>9</v>
      </c>
      <c r="B12" s="5" t="s">
        <v>10</v>
      </c>
    </row>
    <row r="13" customFormat="false" ht="14.9" hidden="false" customHeight="false" outlineLevel="0" collapsed="false">
      <c r="A13" s="6" t="s">
        <v>11</v>
      </c>
      <c r="B13" s="5" t="s">
        <v>12</v>
      </c>
    </row>
    <row r="14" customFormat="false" ht="14.9" hidden="false" customHeight="false" outlineLevel="0" collapsed="false">
      <c r="A14" s="6" t="s">
        <v>13</v>
      </c>
      <c r="B14" s="5" t="s">
        <v>14</v>
      </c>
    </row>
    <row r="15" customFormat="false" ht="28.35" hidden="false" customHeight="false" outlineLevel="0" collapsed="false">
      <c r="A15" s="6" t="s">
        <v>15</v>
      </c>
      <c r="B15" s="5" t="s">
        <v>16</v>
      </c>
    </row>
    <row r="16" customFormat="false" ht="28.35" hidden="false" customHeight="false" outlineLevel="0" collapsed="false">
      <c r="A16" s="6" t="s">
        <v>17</v>
      </c>
      <c r="B16" s="5" t="s">
        <v>18</v>
      </c>
    </row>
    <row r="17" customFormat="false" ht="14.9" hidden="false" customHeight="false" outlineLevel="0" collapsed="false">
      <c r="A17" s="6" t="s">
        <v>19</v>
      </c>
      <c r="B17" s="5"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09375" defaultRowHeight="12" customHeight="true" zeroHeight="false" outlineLevelRow="0" outlineLevelCol="0"/>
  <cols>
    <col collapsed="false" customWidth="true" hidden="false" outlineLevel="0" max="1" min="1" style="0" width="16.33"/>
    <col collapsed="false" customWidth="true" hidden="false" outlineLevel="0" max="2" min="2" style="0" width="26.88"/>
    <col collapsed="false" customWidth="true" hidden="false" outlineLevel="0" max="3" min="3" style="0" width="14.33"/>
    <col collapsed="false" customWidth="true" hidden="false" outlineLevel="0" max="4" min="4" style="0" width="17"/>
    <col collapsed="false" customWidth="true" hidden="false" outlineLevel="0" max="5" min="5" style="0" width="14.55"/>
    <col collapsed="false" customWidth="true" hidden="false" outlineLevel="0" max="6" min="6" style="0" width="8.33"/>
    <col collapsed="false" customWidth="true" hidden="false" outlineLevel="0" max="7" min="7" style="0" width="13.78"/>
    <col collapsed="false" customWidth="true" hidden="false" outlineLevel="0" max="8" min="8" style="0" width="70"/>
    <col collapsed="false" customWidth="true" hidden="false" outlineLevel="0" max="11" min="9" style="0" width="13.55"/>
    <col collapsed="false" customWidth="true" hidden="false" outlineLevel="0" max="12" min="12" style="0" width="17.78"/>
    <col collapsed="false" customWidth="true" hidden="false" outlineLevel="0" max="13" min="13" style="0" width="18.67"/>
    <col collapsed="false" customWidth="true" hidden="false" outlineLevel="0" max="34" min="14" style="0" width="13.55"/>
    <col collapsed="false" customWidth="true" hidden="false" outlineLevel="0" max="35" min="35" style="0" width="12.33"/>
    <col collapsed="false" customWidth="true" hidden="false" outlineLevel="0" max="42" min="36" style="0" width="13.55"/>
    <col collapsed="false" customWidth="true" hidden="false" outlineLevel="0" max="43" min="43" style="0" width="12.33"/>
    <col collapsed="false" customWidth="true" hidden="false" outlineLevel="0" max="60" min="44" style="0" width="13.55"/>
  </cols>
  <sheetData>
    <row r="1" customFormat="false" ht="34.5" hidden="false" customHeight="true" outlineLevel="0" collapsed="false">
      <c r="A1" s="7" t="s">
        <v>21</v>
      </c>
      <c r="B1" s="7" t="s">
        <v>22</v>
      </c>
      <c r="C1" s="7" t="s">
        <v>23</v>
      </c>
      <c r="D1" s="8" t="s">
        <v>24</v>
      </c>
      <c r="E1" s="7" t="s">
        <v>25</v>
      </c>
      <c r="F1" s="9" t="s">
        <v>26</v>
      </c>
      <c r="H1" s="6" t="s">
        <v>27</v>
      </c>
    </row>
    <row r="2" customFormat="false" ht="15" hidden="false" customHeight="true" outlineLevel="0" collapsed="false">
      <c r="A2" s="10" t="s">
        <v>28</v>
      </c>
      <c r="B2" s="10" t="s">
        <v>29</v>
      </c>
      <c r="C2" s="11" t="n">
        <v>43492</v>
      </c>
      <c r="D2" s="11" t="s">
        <v>30</v>
      </c>
      <c r="E2" s="12" t="n">
        <v>140.354356736745</v>
      </c>
      <c r="F2" s="0" t="n">
        <f aca="false">YEAR(C2)</f>
        <v>2019</v>
      </c>
      <c r="H2" s="0" t="s">
        <v>31</v>
      </c>
    </row>
    <row r="3" customFormat="false" ht="15" hidden="false" customHeight="true" outlineLevel="0" collapsed="false">
      <c r="A3" s="10" t="s">
        <v>28</v>
      </c>
      <c r="B3" s="10" t="s">
        <v>32</v>
      </c>
      <c r="C3" s="11" t="n">
        <v>43458</v>
      </c>
      <c r="D3" s="11" t="s">
        <v>30</v>
      </c>
      <c r="E3" s="12" t="n">
        <v>45.0759078287837</v>
      </c>
      <c r="F3" s="0" t="n">
        <f aca="false">YEAR(C3)</f>
        <v>2018</v>
      </c>
    </row>
    <row r="4" customFormat="false" ht="15" hidden="false" customHeight="true" outlineLevel="0" collapsed="false">
      <c r="A4" s="10" t="s">
        <v>28</v>
      </c>
      <c r="B4" s="10" t="s">
        <v>33</v>
      </c>
      <c r="C4" s="11" t="n">
        <v>43480</v>
      </c>
      <c r="D4" s="11" t="s">
        <v>30</v>
      </c>
      <c r="E4" s="12" t="n">
        <v>36.06</v>
      </c>
      <c r="F4" s="0" t="n">
        <f aca="false">YEAR(C4)</f>
        <v>2019</v>
      </c>
    </row>
    <row r="5" customFormat="false" ht="15" hidden="false" customHeight="true" outlineLevel="0" collapsed="false">
      <c r="A5" s="10" t="s">
        <v>28</v>
      </c>
      <c r="B5" s="10" t="s">
        <v>34</v>
      </c>
      <c r="C5" s="11" t="n">
        <v>43232</v>
      </c>
      <c r="D5" s="11" t="s">
        <v>35</v>
      </c>
      <c r="E5" s="12" t="n">
        <v>16.455711418028</v>
      </c>
      <c r="F5" s="0" t="n">
        <f aca="false">YEAR(C5)</f>
        <v>2018</v>
      </c>
    </row>
    <row r="6" customFormat="false" ht="15" hidden="false" customHeight="true" outlineLevel="0" collapsed="false">
      <c r="A6" s="10" t="s">
        <v>28</v>
      </c>
      <c r="B6" s="10" t="s">
        <v>36</v>
      </c>
      <c r="C6" s="11" t="n">
        <v>43470</v>
      </c>
      <c r="D6" s="11" t="s">
        <v>37</v>
      </c>
      <c r="E6" s="12" t="n">
        <v>24.2027574435349</v>
      </c>
      <c r="F6" s="0" t="n">
        <f aca="false">YEAR(C6)</f>
        <v>2019</v>
      </c>
    </row>
    <row r="7" customFormat="false" ht="15" hidden="false" customHeight="true" outlineLevel="0" collapsed="false">
      <c r="A7" s="10" t="s">
        <v>28</v>
      </c>
      <c r="B7" s="10" t="s">
        <v>38</v>
      </c>
      <c r="C7" s="11" t="n">
        <v>43427</v>
      </c>
      <c r="D7" s="11" t="s">
        <v>30</v>
      </c>
      <c r="E7" s="12" t="n">
        <v>106.475304412631</v>
      </c>
      <c r="F7" s="0" t="n">
        <f aca="false">YEAR(C7)</f>
        <v>2018</v>
      </c>
    </row>
    <row r="8" customFormat="false" ht="15" hidden="false" customHeight="true" outlineLevel="0" collapsed="false">
      <c r="A8" s="10" t="s">
        <v>39</v>
      </c>
      <c r="B8" s="10" t="s">
        <v>40</v>
      </c>
      <c r="C8" s="11" t="n">
        <v>43396</v>
      </c>
      <c r="D8" s="11" t="s">
        <v>41</v>
      </c>
      <c r="E8" s="12" t="n">
        <v>237.147356147753</v>
      </c>
      <c r="F8" s="0" t="n">
        <f aca="false">YEAR(C8)</f>
        <v>2018</v>
      </c>
    </row>
    <row r="9" customFormat="false" ht="15" hidden="false" customHeight="true" outlineLevel="0" collapsed="false">
      <c r="A9" s="10" t="s">
        <v>39</v>
      </c>
      <c r="B9" s="10" t="s">
        <v>42</v>
      </c>
      <c r="C9" s="11" t="n">
        <v>43353</v>
      </c>
      <c r="D9" s="11" t="s">
        <v>43</v>
      </c>
      <c r="E9" s="12" t="n">
        <v>145.192504177034</v>
      </c>
      <c r="F9" s="0" t="n">
        <f aca="false">YEAR(C9)</f>
        <v>2018</v>
      </c>
    </row>
    <row r="10" customFormat="false" ht="15" hidden="false" customHeight="true" outlineLevel="0" collapsed="false">
      <c r="A10" s="10" t="s">
        <v>39</v>
      </c>
      <c r="B10" s="10" t="s">
        <v>44</v>
      </c>
      <c r="C10" s="11" t="n">
        <v>43472</v>
      </c>
      <c r="D10" s="11" t="s">
        <v>37</v>
      </c>
      <c r="E10" s="12" t="n">
        <v>55.9422066760425</v>
      </c>
      <c r="F10" s="0" t="n">
        <f aca="false">YEAR(C10)</f>
        <v>2019</v>
      </c>
    </row>
    <row r="11" customFormat="false" ht="15" hidden="false" customHeight="true" outlineLevel="0" collapsed="false">
      <c r="A11" s="10" t="s">
        <v>39</v>
      </c>
      <c r="B11" s="10" t="s">
        <v>45</v>
      </c>
      <c r="C11" s="11" t="n">
        <v>43454</v>
      </c>
      <c r="D11" s="11" t="s">
        <v>30</v>
      </c>
      <c r="E11" s="12" t="n">
        <v>84.2138160662556</v>
      </c>
      <c r="F11" s="0" t="n">
        <f aca="false">YEAR(C11)</f>
        <v>2018</v>
      </c>
    </row>
    <row r="12" customFormat="false" ht="15" hidden="false" customHeight="true" outlineLevel="0" collapsed="false">
      <c r="A12" s="10" t="s">
        <v>39</v>
      </c>
      <c r="B12" s="10" t="s">
        <v>46</v>
      </c>
      <c r="C12" s="11" t="n">
        <v>43352</v>
      </c>
      <c r="D12" s="11" t="s">
        <v>41</v>
      </c>
      <c r="E12" s="12" t="n">
        <v>435.577512531102</v>
      </c>
      <c r="F12" s="0" t="n">
        <f aca="false">YEAR(C12)</f>
        <v>2018</v>
      </c>
    </row>
    <row r="13" customFormat="false" ht="15" hidden="false" customHeight="true" outlineLevel="0" collapsed="false">
      <c r="A13" s="10" t="s">
        <v>39</v>
      </c>
      <c r="B13" s="10" t="s">
        <v>47</v>
      </c>
      <c r="C13" s="11" t="n">
        <v>43479</v>
      </c>
      <c r="D13" s="11" t="s">
        <v>41</v>
      </c>
      <c r="E13" s="12" t="n">
        <v>203.268303823639</v>
      </c>
      <c r="F13" s="0" t="n">
        <f aca="false">YEAR(C13)</f>
        <v>2019</v>
      </c>
    </row>
    <row r="14" customFormat="false" ht="15" hidden="false" customHeight="true" outlineLevel="0" collapsed="false">
      <c r="A14" s="10" t="s">
        <v>39</v>
      </c>
      <c r="B14" s="10" t="s">
        <v>48</v>
      </c>
      <c r="C14" s="11" t="n">
        <v>43494</v>
      </c>
      <c r="D14" s="11" t="s">
        <v>43</v>
      </c>
      <c r="E14" s="12" t="n">
        <v>300.061303234647</v>
      </c>
      <c r="F14" s="0" t="n">
        <f aca="false">YEAR(C14)</f>
        <v>2019</v>
      </c>
    </row>
    <row r="15" customFormat="false" ht="15" hidden="false" customHeight="true" outlineLevel="0" collapsed="false">
      <c r="A15" s="10" t="s">
        <v>39</v>
      </c>
      <c r="B15" s="10" t="s">
        <v>49</v>
      </c>
      <c r="C15" s="11" t="n">
        <v>43468</v>
      </c>
      <c r="D15" s="11" t="s">
        <v>37</v>
      </c>
      <c r="E15" s="12" t="n">
        <v>3.60607262630269</v>
      </c>
      <c r="F15" s="0" t="n">
        <f aca="false">YEAR(C15)</f>
        <v>2019</v>
      </c>
    </row>
    <row r="16" customFormat="false" ht="15" hidden="false" customHeight="true" outlineLevel="0" collapsed="false">
      <c r="A16" s="10" t="s">
        <v>50</v>
      </c>
      <c r="B16" s="10" t="s">
        <v>51</v>
      </c>
      <c r="C16" s="11" t="n">
        <v>43357</v>
      </c>
      <c r="D16" s="11" t="s">
        <v>52</v>
      </c>
      <c r="E16" s="12" t="n">
        <v>77.8911687281382</v>
      </c>
      <c r="F16" s="0" t="n">
        <f aca="false">YEAR(C16)</f>
        <v>2018</v>
      </c>
    </row>
    <row r="17" customFormat="false" ht="15" hidden="false" customHeight="true" outlineLevel="0" collapsed="false">
      <c r="A17" s="10" t="s">
        <v>50</v>
      </c>
      <c r="B17" s="10" t="s">
        <v>53</v>
      </c>
      <c r="C17" s="11" t="n">
        <v>43328</v>
      </c>
      <c r="D17" s="11" t="s">
        <v>52</v>
      </c>
      <c r="E17" s="12" t="n">
        <v>193.393674948614</v>
      </c>
      <c r="F17" s="0" t="n">
        <f aca="false">YEAR(C17)</f>
        <v>2018</v>
      </c>
    </row>
    <row r="18" customFormat="false" ht="15" hidden="false" customHeight="true" outlineLevel="0" collapsed="false">
      <c r="A18" s="10" t="s">
        <v>50</v>
      </c>
      <c r="B18" s="10" t="s">
        <v>54</v>
      </c>
      <c r="C18" s="11" t="n">
        <v>43284</v>
      </c>
      <c r="D18" s="11" t="s">
        <v>35</v>
      </c>
      <c r="E18" s="12" t="n">
        <v>1254.48054523818</v>
      </c>
      <c r="F18" s="0" t="n">
        <f aca="false">YEAR(C18)</f>
        <v>2018</v>
      </c>
    </row>
    <row r="19" customFormat="false" ht="15" hidden="false" customHeight="true" outlineLevel="0" collapsed="false">
      <c r="A19" s="10" t="s">
        <v>50</v>
      </c>
      <c r="B19" s="10" t="s">
        <v>55</v>
      </c>
      <c r="C19" s="11" t="n">
        <v>43469</v>
      </c>
      <c r="D19" s="11" t="s">
        <v>56</v>
      </c>
      <c r="E19" s="12" t="n">
        <v>38.9455843640691</v>
      </c>
      <c r="F19" s="0" t="n">
        <f aca="false">YEAR(C19)</f>
        <v>2019</v>
      </c>
    </row>
    <row r="20" customFormat="false" ht="15" hidden="false" customHeight="true" outlineLevel="0" collapsed="false">
      <c r="A20" s="10" t="s">
        <v>50</v>
      </c>
      <c r="B20" s="10" t="s">
        <v>57</v>
      </c>
      <c r="C20" s="11" t="n">
        <v>43486</v>
      </c>
      <c r="D20" s="11" t="s">
        <v>43</v>
      </c>
      <c r="E20" s="12" t="n">
        <v>93.0366737586095</v>
      </c>
      <c r="F20" s="0" t="n">
        <f aca="false">YEAR(C20)</f>
        <v>2019</v>
      </c>
    </row>
    <row r="21" customFormat="false" ht="15" hidden="false" customHeight="true" outlineLevel="0" collapsed="false">
      <c r="A21" s="10" t="s">
        <v>50</v>
      </c>
      <c r="B21" s="10" t="s">
        <v>58</v>
      </c>
      <c r="C21" s="11" t="n">
        <v>43481</v>
      </c>
      <c r="D21" s="11" t="s">
        <v>35</v>
      </c>
      <c r="E21" s="12" t="n">
        <v>62.7276333345354</v>
      </c>
      <c r="F21" s="0" t="n">
        <f aca="false">YEAR(C21)</f>
        <v>2019</v>
      </c>
    </row>
    <row r="22" customFormat="false" ht="15" hidden="false" customHeight="true" outlineLevel="0" collapsed="false">
      <c r="A22" s="10" t="s">
        <v>50</v>
      </c>
      <c r="B22" s="10" t="s">
        <v>59</v>
      </c>
      <c r="C22" s="11" t="n">
        <v>43442</v>
      </c>
      <c r="D22" s="11" t="s">
        <v>37</v>
      </c>
      <c r="E22" s="12" t="n">
        <v>36.5956270359285</v>
      </c>
      <c r="F22" s="0" t="n">
        <f aca="false">YEAR(C22)</f>
        <v>2018</v>
      </c>
    </row>
    <row r="23" customFormat="false" ht="15" hidden="false" customHeight="true" outlineLevel="0" collapsed="false">
      <c r="A23" s="10" t="s">
        <v>50</v>
      </c>
      <c r="B23" s="10" t="s">
        <v>60</v>
      </c>
      <c r="C23" s="11" t="n">
        <v>43446</v>
      </c>
      <c r="D23" s="11" t="s">
        <v>52</v>
      </c>
      <c r="E23" s="12" t="n">
        <v>365.98031084346</v>
      </c>
      <c r="F23" s="0" t="n">
        <f aca="false">YEAR(C23)</f>
        <v>2018</v>
      </c>
    </row>
    <row r="24" customFormat="false" ht="15" hidden="false" customHeight="true" outlineLevel="0" collapsed="false">
      <c r="A24" s="10" t="s">
        <v>50</v>
      </c>
      <c r="B24" s="10" t="s">
        <v>61</v>
      </c>
      <c r="C24" s="11" t="n">
        <v>43411</v>
      </c>
      <c r="D24" s="11" t="s">
        <v>52</v>
      </c>
      <c r="E24" s="12" t="n">
        <v>470.41818422223</v>
      </c>
      <c r="F24" s="0" t="n">
        <f aca="false">YEAR(C24)</f>
        <v>2018</v>
      </c>
    </row>
    <row r="25" customFormat="false" ht="15" hidden="false" customHeight="true" outlineLevel="0" collapsed="false">
      <c r="A25" s="10" t="s">
        <v>62</v>
      </c>
      <c r="B25" s="10" t="s">
        <v>63</v>
      </c>
      <c r="C25" s="11" t="n">
        <v>43378</v>
      </c>
      <c r="D25" s="11" t="s">
        <v>37</v>
      </c>
      <c r="E25" s="12" t="n">
        <v>5.52330123928696</v>
      </c>
      <c r="F25" s="0" t="n">
        <f aca="false">YEAR(C25)</f>
        <v>2018</v>
      </c>
    </row>
    <row r="26" customFormat="false" ht="15" hidden="false" customHeight="true" outlineLevel="0" collapsed="false">
      <c r="A26" s="10" t="s">
        <v>62</v>
      </c>
      <c r="B26" s="10" t="s">
        <v>64</v>
      </c>
      <c r="C26" s="11" t="n">
        <v>43401</v>
      </c>
      <c r="D26" s="11" t="s">
        <v>65</v>
      </c>
      <c r="E26" s="12" t="n">
        <v>25.1703869315928</v>
      </c>
      <c r="F26" s="0" t="n">
        <f aca="false">YEAR(C26)</f>
        <v>2018</v>
      </c>
    </row>
    <row r="27" customFormat="false" ht="15" hidden="false" customHeight="true" outlineLevel="0" collapsed="false">
      <c r="A27" s="10" t="s">
        <v>62</v>
      </c>
      <c r="B27" s="10" t="s">
        <v>66</v>
      </c>
      <c r="C27" s="11" t="n">
        <v>43480</v>
      </c>
      <c r="D27" s="11" t="s">
        <v>52</v>
      </c>
      <c r="E27" s="12" t="n">
        <v>20.3322394913034</v>
      </c>
      <c r="F27" s="0" t="n">
        <f aca="false">YEAR(C27)</f>
        <v>2019</v>
      </c>
    </row>
    <row r="28" customFormat="false" ht="15" hidden="false" customHeight="true" outlineLevel="0" collapsed="false">
      <c r="A28" s="10" t="s">
        <v>62</v>
      </c>
      <c r="B28" s="10" t="s">
        <v>67</v>
      </c>
      <c r="C28" s="11" t="n">
        <v>43491</v>
      </c>
      <c r="D28" s="11" t="s">
        <v>41</v>
      </c>
      <c r="E28" s="12" t="n">
        <v>5.61345305494453</v>
      </c>
      <c r="F28" s="0" t="n">
        <f aca="false">YEAR(C28)</f>
        <v>2019</v>
      </c>
    </row>
    <row r="29" customFormat="false" ht="15" hidden="false" customHeight="true" outlineLevel="0" collapsed="false">
      <c r="A29" s="10" t="s">
        <v>62</v>
      </c>
      <c r="B29" s="10" t="s">
        <v>68</v>
      </c>
      <c r="C29" s="11" t="n">
        <v>43390</v>
      </c>
      <c r="D29" s="11" t="s">
        <v>37</v>
      </c>
      <c r="E29" s="12" t="n">
        <v>9.49599124926376</v>
      </c>
      <c r="F29" s="0" t="n">
        <f aca="false">YEAR(C29)</f>
        <v>2018</v>
      </c>
    </row>
    <row r="30" customFormat="false" ht="15" hidden="false" customHeight="true" outlineLevel="0" collapsed="false">
      <c r="A30" s="10" t="s">
        <v>62</v>
      </c>
      <c r="B30" s="10" t="s">
        <v>63</v>
      </c>
      <c r="C30" s="11" t="n">
        <v>43483</v>
      </c>
      <c r="D30" s="11" t="s">
        <v>65</v>
      </c>
      <c r="E30" s="12" t="n">
        <v>7.54871203106031</v>
      </c>
      <c r="F30" s="0" t="n">
        <f aca="false">YEAR(C30)</f>
        <v>2019</v>
      </c>
    </row>
    <row r="31" customFormat="false" ht="15" hidden="false" customHeight="true" outlineLevel="0" collapsed="false">
      <c r="A31" s="10" t="s">
        <v>62</v>
      </c>
      <c r="B31" s="10" t="s">
        <v>69</v>
      </c>
      <c r="C31" s="11" t="n">
        <v>43423</v>
      </c>
      <c r="D31" s="11" t="s">
        <v>37</v>
      </c>
      <c r="E31" s="12" t="n">
        <v>18.3909703941437</v>
      </c>
      <c r="F31" s="0" t="n">
        <f aca="false">YEAR(C31)</f>
        <v>2018</v>
      </c>
    </row>
    <row r="32" customFormat="false" ht="15" hidden="false" customHeight="true" outlineLevel="0" collapsed="false">
      <c r="A32" s="10" t="s">
        <v>62</v>
      </c>
      <c r="B32" s="10" t="s">
        <v>70</v>
      </c>
      <c r="C32" s="11" t="n">
        <v>43410</v>
      </c>
      <c r="D32" s="11" t="s">
        <v>71</v>
      </c>
      <c r="E32" s="12" t="n">
        <v>12.5791833447526</v>
      </c>
      <c r="F32" s="0" t="n">
        <f aca="false">YEAR(C32)</f>
        <v>2018</v>
      </c>
    </row>
    <row r="33" customFormat="false" ht="15" hidden="false" customHeight="true" outlineLevel="0" collapsed="false">
      <c r="A33" s="10" t="s">
        <v>72</v>
      </c>
      <c r="B33" s="10" t="s">
        <v>73</v>
      </c>
      <c r="C33" s="11" t="n">
        <v>43441</v>
      </c>
      <c r="D33" s="11" t="s">
        <v>43</v>
      </c>
      <c r="E33" s="12" t="n">
        <v>132.871756037167</v>
      </c>
      <c r="F33" s="0" t="n">
        <f aca="false">YEAR(C33)</f>
        <v>2018</v>
      </c>
    </row>
    <row r="34" customFormat="false" ht="15" hidden="false" customHeight="true" outlineLevel="0" collapsed="false">
      <c r="A34" s="10" t="s">
        <v>72</v>
      </c>
      <c r="B34" s="10" t="s">
        <v>74</v>
      </c>
      <c r="C34" s="11" t="n">
        <v>43448</v>
      </c>
      <c r="D34" s="11" t="s">
        <v>35</v>
      </c>
      <c r="E34" s="12" t="n">
        <v>86.1130143161083</v>
      </c>
      <c r="F34" s="0" t="n">
        <f aca="false">YEAR(C34)</f>
        <v>2018</v>
      </c>
    </row>
    <row r="35" customFormat="false" ht="15" hidden="false" customHeight="true" outlineLevel="0" collapsed="false">
      <c r="A35" s="10" t="s">
        <v>72</v>
      </c>
      <c r="B35" s="10" t="s">
        <v>75</v>
      </c>
      <c r="C35" s="11" t="n">
        <v>43484</v>
      </c>
      <c r="D35" s="11" t="s">
        <v>52</v>
      </c>
      <c r="E35" s="12" t="n">
        <v>368.787037370933</v>
      </c>
      <c r="F35" s="0" t="n">
        <f aca="false">YEAR(C35)</f>
        <v>2019</v>
      </c>
    </row>
    <row r="36" customFormat="false" ht="15" hidden="false" customHeight="true" outlineLevel="0" collapsed="false">
      <c r="A36" s="10" t="s">
        <v>72</v>
      </c>
      <c r="B36" s="10" t="s">
        <v>76</v>
      </c>
      <c r="C36" s="11" t="n">
        <v>43387</v>
      </c>
      <c r="D36" s="11" t="s">
        <v>37</v>
      </c>
      <c r="E36" s="12" t="n">
        <v>87.5494332455856</v>
      </c>
      <c r="F36" s="0" t="n">
        <f aca="false">YEAR(C36)</f>
        <v>2018</v>
      </c>
    </row>
    <row r="37" customFormat="false" ht="15" hidden="false" customHeight="true" outlineLevel="0" collapsed="false">
      <c r="A37" s="10" t="s">
        <v>72</v>
      </c>
      <c r="B37" s="10" t="s">
        <v>77</v>
      </c>
      <c r="C37" s="11" t="n">
        <v>43382</v>
      </c>
      <c r="D37" s="11" t="s">
        <v>35</v>
      </c>
      <c r="E37" s="12" t="n">
        <v>119.751661798469</v>
      </c>
      <c r="F37" s="0" t="n">
        <f aca="false">YEAR(C37)</f>
        <v>2018</v>
      </c>
    </row>
    <row r="38" customFormat="false" ht="15" hidden="false" customHeight="true" outlineLevel="0" collapsed="false">
      <c r="A38" s="10" t="s">
        <v>72</v>
      </c>
      <c r="B38" s="10" t="s">
        <v>78</v>
      </c>
      <c r="C38" s="11" t="n">
        <v>43317</v>
      </c>
      <c r="D38" s="11" t="s">
        <v>37</v>
      </c>
      <c r="E38" s="12" t="n">
        <v>47.7083408459846</v>
      </c>
      <c r="F38" s="0" t="n">
        <f aca="false">YEAR(C38)</f>
        <v>2018</v>
      </c>
    </row>
    <row r="39" customFormat="false" ht="15" hidden="false" customHeight="true" outlineLevel="0" collapsed="false">
      <c r="A39" s="10" t="s">
        <v>72</v>
      </c>
      <c r="B39" s="10" t="s">
        <v>79</v>
      </c>
      <c r="C39" s="11" t="n">
        <v>43257</v>
      </c>
      <c r="D39" s="10" t="s">
        <v>80</v>
      </c>
      <c r="E39" s="12" t="n">
        <v>33.1337973146779</v>
      </c>
      <c r="F39" s="0" t="n">
        <f aca="false">YEAR(C39)</f>
        <v>2018</v>
      </c>
    </row>
  </sheetData>
  <autoFilter ref="A1:E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015625" defaultRowHeight="15" customHeight="true" zeroHeight="false" outlineLevelRow="0" outlineLevelCol="0"/>
  <cols>
    <col collapsed="false" customWidth="true" hidden="false" outlineLevel="0" max="1" min="1" style="0" width="25"/>
    <col collapsed="false" customWidth="true" hidden="false" outlineLevel="0" max="5" min="2" style="0" width="15"/>
  </cols>
  <sheetData>
    <row r="1" customFormat="false" ht="17.35" hidden="false" customHeight="false" outlineLevel="0" collapsed="false">
      <c r="A1" s="4" t="s">
        <v>81</v>
      </c>
    </row>
    <row r="2" customFormat="false" ht="15" hidden="false" customHeight="false" outlineLevel="0" collapsed="false">
      <c r="A2" s="0" t="s">
        <v>82</v>
      </c>
      <c r="B2" s="0" t="n">
        <v>2018</v>
      </c>
      <c r="D2" s="0" t="n">
        <v>2019</v>
      </c>
    </row>
    <row r="3" customFormat="false" ht="15" hidden="false" customHeight="false" outlineLevel="0" collapsed="false">
      <c r="A3" s="6"/>
      <c r="B3" s="6" t="s">
        <v>83</v>
      </c>
      <c r="C3" s="6" t="s">
        <v>84</v>
      </c>
      <c r="D3" s="6" t="s">
        <v>83</v>
      </c>
      <c r="E3" s="6" t="s">
        <v>84</v>
      </c>
    </row>
    <row r="4" customFormat="false" ht="15" hidden="false" customHeight="false" outlineLevel="0" collapsed="false">
      <c r="A4" s="0" t="s">
        <v>29</v>
      </c>
      <c r="B4" s="0" t="n">
        <v>0</v>
      </c>
      <c r="C4" s="13" t="n">
        <v>0</v>
      </c>
      <c r="D4" s="0" t="n">
        <v>1</v>
      </c>
      <c r="E4" s="13" t="n">
        <v>140.354356736745</v>
      </c>
    </row>
    <row r="5" customFormat="false" ht="15" hidden="false" customHeight="false" outlineLevel="0" collapsed="false">
      <c r="A5" s="0" t="s">
        <v>32</v>
      </c>
      <c r="B5" s="0" t="n">
        <v>1</v>
      </c>
      <c r="C5" s="13" t="n">
        <v>45.0759078287837</v>
      </c>
      <c r="D5" s="0" t="n">
        <v>0</v>
      </c>
      <c r="E5" s="13" t="n">
        <v>0</v>
      </c>
    </row>
    <row r="6" customFormat="false" ht="15" hidden="false" customHeight="false" outlineLevel="0" collapsed="false">
      <c r="A6" s="0" t="s">
        <v>33</v>
      </c>
      <c r="B6" s="0" t="n">
        <v>0</v>
      </c>
      <c r="C6" s="13" t="n">
        <v>0</v>
      </c>
      <c r="D6" s="0" t="n">
        <v>1</v>
      </c>
      <c r="E6" s="13" t="n">
        <v>36.06</v>
      </c>
    </row>
    <row r="7" customFormat="false" ht="15" hidden="false" customHeight="false" outlineLevel="0" collapsed="false">
      <c r="A7" s="0" t="s">
        <v>34</v>
      </c>
      <c r="B7" s="0" t="n">
        <v>1</v>
      </c>
      <c r="C7" s="13" t="n">
        <v>16.455711418028</v>
      </c>
      <c r="D7" s="0" t="n">
        <v>0</v>
      </c>
      <c r="E7" s="13" t="n">
        <v>0</v>
      </c>
    </row>
    <row r="8" customFormat="false" ht="15" hidden="false" customHeight="false" outlineLevel="0" collapsed="false">
      <c r="A8" s="0" t="s">
        <v>36</v>
      </c>
      <c r="B8" s="0" t="n">
        <v>0</v>
      </c>
      <c r="C8" s="13" t="n">
        <v>0</v>
      </c>
      <c r="D8" s="0" t="n">
        <v>1</v>
      </c>
      <c r="E8" s="13" t="n">
        <v>24.2027574435349</v>
      </c>
    </row>
    <row r="9" customFormat="false" ht="15" hidden="false" customHeight="false" outlineLevel="0" collapsed="false">
      <c r="A9" s="0" t="s">
        <v>38</v>
      </c>
      <c r="B9" s="0" t="n">
        <v>1</v>
      </c>
      <c r="C9" s="13" t="n">
        <v>106.475304412631</v>
      </c>
      <c r="D9" s="0" t="n">
        <v>0</v>
      </c>
      <c r="E9" s="13" t="n">
        <v>0</v>
      </c>
    </row>
    <row r="10" customFormat="false" ht="15" hidden="false" customHeight="false" outlineLevel="0" collapsed="false">
      <c r="A10" s="0" t="s">
        <v>40</v>
      </c>
      <c r="B10" s="0" t="n">
        <v>1</v>
      </c>
      <c r="C10" s="13" t="n">
        <v>237.147356147753</v>
      </c>
      <c r="D10" s="0" t="n">
        <v>0</v>
      </c>
      <c r="E10" s="13" t="n">
        <v>0</v>
      </c>
    </row>
    <row r="11" customFormat="false" ht="15" hidden="false" customHeight="false" outlineLevel="0" collapsed="false">
      <c r="A11" s="0" t="s">
        <v>42</v>
      </c>
      <c r="B11" s="0" t="n">
        <v>1</v>
      </c>
      <c r="C11" s="13" t="n">
        <v>145.192504177034</v>
      </c>
      <c r="D11" s="0" t="n">
        <v>0</v>
      </c>
      <c r="E11" s="13" t="n">
        <v>0</v>
      </c>
    </row>
    <row r="12" customFormat="false" ht="15" hidden="false" customHeight="false" outlineLevel="0" collapsed="false">
      <c r="A12" s="0" t="s">
        <v>44</v>
      </c>
      <c r="B12" s="0" t="n">
        <v>0</v>
      </c>
      <c r="C12" s="13" t="n">
        <v>0</v>
      </c>
      <c r="D12" s="0" t="n">
        <v>1</v>
      </c>
      <c r="E12" s="13" t="n">
        <v>55.9422066760425</v>
      </c>
    </row>
    <row r="13" customFormat="false" ht="15" hidden="false" customHeight="false" outlineLevel="0" collapsed="false">
      <c r="A13" s="0" t="s">
        <v>45</v>
      </c>
      <c r="B13" s="0" t="n">
        <v>1</v>
      </c>
      <c r="C13" s="13" t="n">
        <v>84.2138160662556</v>
      </c>
      <c r="D13" s="0" t="n">
        <v>0</v>
      </c>
      <c r="E13" s="13" t="n">
        <v>0</v>
      </c>
    </row>
    <row r="14" customFormat="false" ht="15" hidden="false" customHeight="false" outlineLevel="0" collapsed="false">
      <c r="A14" s="0" t="s">
        <v>46</v>
      </c>
      <c r="B14" s="0" t="n">
        <v>1</v>
      </c>
      <c r="C14" s="13" t="n">
        <v>435.577512531102</v>
      </c>
      <c r="D14" s="0" t="n">
        <v>0</v>
      </c>
      <c r="E14" s="13" t="n">
        <v>0</v>
      </c>
    </row>
    <row r="15" customFormat="false" ht="15" hidden="false" customHeight="false" outlineLevel="0" collapsed="false">
      <c r="A15" s="0" t="s">
        <v>47</v>
      </c>
      <c r="B15" s="0" t="n">
        <v>0</v>
      </c>
      <c r="C15" s="13" t="n">
        <v>0</v>
      </c>
      <c r="D15" s="0" t="n">
        <v>1</v>
      </c>
      <c r="E15" s="13" t="n">
        <v>203.268303823639</v>
      </c>
    </row>
    <row r="16" customFormat="false" ht="15" hidden="false" customHeight="false" outlineLevel="0" collapsed="false">
      <c r="A16" s="0" t="s">
        <v>48</v>
      </c>
      <c r="B16" s="0" t="n">
        <v>0</v>
      </c>
      <c r="C16" s="13" t="n">
        <v>0</v>
      </c>
      <c r="D16" s="0" t="n">
        <v>1</v>
      </c>
      <c r="E16" s="13" t="n">
        <v>300.061303234647</v>
      </c>
    </row>
    <row r="17" customFormat="false" ht="15" hidden="false" customHeight="false" outlineLevel="0" collapsed="false">
      <c r="A17" s="0" t="s">
        <v>49</v>
      </c>
      <c r="B17" s="0" t="n">
        <v>0</v>
      </c>
      <c r="C17" s="13" t="n">
        <v>0</v>
      </c>
      <c r="D17" s="0" t="n">
        <v>1</v>
      </c>
      <c r="E17" s="13" t="n">
        <v>3.60607262630269</v>
      </c>
    </row>
    <row r="18" customFormat="false" ht="15" hidden="false" customHeight="false" outlineLevel="0" collapsed="false">
      <c r="A18" s="0" t="s">
        <v>51</v>
      </c>
      <c r="B18" s="0" t="n">
        <v>1</v>
      </c>
      <c r="C18" s="13" t="n">
        <v>77.8911687281382</v>
      </c>
      <c r="D18" s="0" t="n">
        <v>0</v>
      </c>
      <c r="E18" s="13" t="n">
        <v>0</v>
      </c>
    </row>
    <row r="19" customFormat="false" ht="15" hidden="false" customHeight="false" outlineLevel="0" collapsed="false">
      <c r="A19" s="0" t="s">
        <v>53</v>
      </c>
      <c r="B19" s="0" t="n">
        <v>1</v>
      </c>
      <c r="C19" s="13" t="n">
        <v>193.393674948614</v>
      </c>
      <c r="D19" s="0" t="n">
        <v>0</v>
      </c>
      <c r="E19" s="13" t="n">
        <v>0</v>
      </c>
    </row>
    <row r="20" customFormat="false" ht="15" hidden="false" customHeight="false" outlineLevel="0" collapsed="false">
      <c r="A20" s="0" t="s">
        <v>54</v>
      </c>
      <c r="B20" s="0" t="n">
        <v>1</v>
      </c>
      <c r="C20" s="13" t="n">
        <v>1254.48054523818</v>
      </c>
      <c r="D20" s="0" t="n">
        <v>0</v>
      </c>
      <c r="E20" s="13" t="n">
        <v>0</v>
      </c>
    </row>
    <row r="21" customFormat="false" ht="15" hidden="false" customHeight="false" outlineLevel="0" collapsed="false">
      <c r="A21" s="0" t="s">
        <v>55</v>
      </c>
      <c r="B21" s="0" t="n">
        <v>0</v>
      </c>
      <c r="C21" s="13" t="n">
        <v>0</v>
      </c>
      <c r="D21" s="0" t="n">
        <v>1</v>
      </c>
      <c r="E21" s="13" t="n">
        <v>38.9455843640691</v>
      </c>
    </row>
    <row r="22" customFormat="false" ht="15" hidden="false" customHeight="false" outlineLevel="0" collapsed="false">
      <c r="A22" s="0" t="s">
        <v>57</v>
      </c>
      <c r="B22" s="0" t="n">
        <v>0</v>
      </c>
      <c r="C22" s="13" t="n">
        <v>0</v>
      </c>
      <c r="D22" s="0" t="n">
        <v>1</v>
      </c>
      <c r="E22" s="13" t="n">
        <v>93.0366737586095</v>
      </c>
    </row>
    <row r="23" customFormat="false" ht="15" hidden="false" customHeight="false" outlineLevel="0" collapsed="false">
      <c r="A23" s="0" t="s">
        <v>58</v>
      </c>
      <c r="B23" s="0" t="n">
        <v>0</v>
      </c>
      <c r="C23" s="13" t="n">
        <v>0</v>
      </c>
      <c r="D23" s="0" t="n">
        <v>1</v>
      </c>
      <c r="E23" s="13" t="n">
        <v>62.7276333345354</v>
      </c>
    </row>
    <row r="24" customFormat="false" ht="15" hidden="false" customHeight="false" outlineLevel="0" collapsed="false">
      <c r="A24" s="0" t="s">
        <v>59</v>
      </c>
      <c r="B24" s="0" t="n">
        <v>1</v>
      </c>
      <c r="C24" s="13" t="n">
        <v>36.5956270359285</v>
      </c>
      <c r="D24" s="0" t="n">
        <v>0</v>
      </c>
      <c r="E24" s="13" t="n">
        <v>0</v>
      </c>
    </row>
    <row r="25" customFormat="false" ht="15" hidden="false" customHeight="false" outlineLevel="0" collapsed="false">
      <c r="A25" s="0" t="s">
        <v>60</v>
      </c>
      <c r="B25" s="0" t="n">
        <v>1</v>
      </c>
      <c r="C25" s="13" t="n">
        <v>365.98031084346</v>
      </c>
      <c r="D25" s="0" t="n">
        <v>0</v>
      </c>
      <c r="E25" s="13" t="n">
        <v>0</v>
      </c>
    </row>
    <row r="26" customFormat="false" ht="15" hidden="false" customHeight="false" outlineLevel="0" collapsed="false">
      <c r="A26" s="0" t="s">
        <v>61</v>
      </c>
      <c r="B26" s="0" t="n">
        <v>1</v>
      </c>
      <c r="C26" s="13" t="n">
        <v>470.41818422223</v>
      </c>
      <c r="D26" s="0" t="n">
        <v>0</v>
      </c>
      <c r="E26" s="13" t="n">
        <v>0</v>
      </c>
    </row>
    <row r="27" customFormat="false" ht="15" hidden="false" customHeight="false" outlineLevel="0" collapsed="false">
      <c r="A27" s="0" t="s">
        <v>63</v>
      </c>
      <c r="B27" s="0" t="n">
        <v>1</v>
      </c>
      <c r="C27" s="13" t="n">
        <v>5.52330123928696</v>
      </c>
      <c r="D27" s="0" t="n">
        <v>1</v>
      </c>
      <c r="E27" s="13" t="n">
        <v>7.54871203106031</v>
      </c>
    </row>
    <row r="28" customFormat="false" ht="15" hidden="false" customHeight="false" outlineLevel="0" collapsed="false">
      <c r="A28" s="0" t="s">
        <v>64</v>
      </c>
      <c r="B28" s="0" t="n">
        <v>1</v>
      </c>
      <c r="C28" s="13" t="n">
        <v>25.1703869315928</v>
      </c>
      <c r="D28" s="0" t="n">
        <v>0</v>
      </c>
      <c r="E28" s="13" t="n">
        <v>0</v>
      </c>
    </row>
    <row r="29" customFormat="false" ht="15" hidden="false" customHeight="false" outlineLevel="0" collapsed="false">
      <c r="A29" s="0" t="s">
        <v>66</v>
      </c>
      <c r="B29" s="0" t="n">
        <v>0</v>
      </c>
      <c r="C29" s="13" t="n">
        <v>0</v>
      </c>
      <c r="D29" s="0" t="n">
        <v>1</v>
      </c>
      <c r="E29" s="13" t="n">
        <v>20.3322394913034</v>
      </c>
    </row>
    <row r="30" customFormat="false" ht="15" hidden="false" customHeight="false" outlineLevel="0" collapsed="false">
      <c r="A30" s="0" t="s">
        <v>67</v>
      </c>
      <c r="B30" s="0" t="n">
        <v>0</v>
      </c>
      <c r="C30" s="13" t="n">
        <v>0</v>
      </c>
      <c r="D30" s="0" t="n">
        <v>1</v>
      </c>
      <c r="E30" s="13" t="n">
        <v>5.61345305494453</v>
      </c>
    </row>
    <row r="31" customFormat="false" ht="15" hidden="false" customHeight="false" outlineLevel="0" collapsed="false">
      <c r="A31" s="0" t="s">
        <v>68</v>
      </c>
      <c r="B31" s="0" t="n">
        <v>1</v>
      </c>
      <c r="C31" s="13" t="n">
        <v>9.49599124926376</v>
      </c>
      <c r="D31" s="0" t="n">
        <v>0</v>
      </c>
      <c r="E31" s="13" t="n">
        <v>0</v>
      </c>
    </row>
    <row r="32" customFormat="false" ht="15" hidden="false" customHeight="false" outlineLevel="0" collapsed="false">
      <c r="A32" s="0" t="s">
        <v>69</v>
      </c>
      <c r="B32" s="0" t="n">
        <v>1</v>
      </c>
      <c r="C32" s="13" t="n">
        <v>18.3909703941437</v>
      </c>
      <c r="D32" s="0" t="n">
        <v>0</v>
      </c>
      <c r="E32" s="13" t="n">
        <v>0</v>
      </c>
    </row>
    <row r="33" customFormat="false" ht="15" hidden="false" customHeight="false" outlineLevel="0" collapsed="false">
      <c r="A33" s="0" t="s">
        <v>70</v>
      </c>
      <c r="B33" s="0" t="n">
        <v>1</v>
      </c>
      <c r="C33" s="13" t="n">
        <v>12.5791833447526</v>
      </c>
      <c r="D33" s="0" t="n">
        <v>0</v>
      </c>
      <c r="E33" s="13" t="n">
        <v>0</v>
      </c>
    </row>
    <row r="34" customFormat="false" ht="15" hidden="false" customHeight="false" outlineLevel="0" collapsed="false">
      <c r="A34" s="0" t="s">
        <v>73</v>
      </c>
      <c r="B34" s="0" t="n">
        <v>1</v>
      </c>
      <c r="C34" s="13" t="n">
        <v>132.871756037167</v>
      </c>
      <c r="D34" s="0" t="n">
        <v>0</v>
      </c>
      <c r="E34" s="13" t="n">
        <v>0</v>
      </c>
    </row>
    <row r="35" customFormat="false" ht="15" hidden="false" customHeight="false" outlineLevel="0" collapsed="false">
      <c r="A35" s="0" t="s">
        <v>74</v>
      </c>
      <c r="B35" s="0" t="n">
        <v>1</v>
      </c>
      <c r="C35" s="13" t="n">
        <v>86.1130143161083</v>
      </c>
      <c r="D35" s="0" t="n">
        <v>0</v>
      </c>
      <c r="E35" s="13" t="n">
        <v>0</v>
      </c>
    </row>
    <row r="36" customFormat="false" ht="15" hidden="false" customHeight="false" outlineLevel="0" collapsed="false">
      <c r="A36" s="0" t="s">
        <v>75</v>
      </c>
      <c r="B36" s="0" t="n">
        <v>0</v>
      </c>
      <c r="C36" s="13" t="n">
        <v>0</v>
      </c>
      <c r="D36" s="0" t="n">
        <v>1</v>
      </c>
      <c r="E36" s="13" t="n">
        <v>368.787037370933</v>
      </c>
    </row>
    <row r="37" customFormat="false" ht="15" hidden="false" customHeight="false" outlineLevel="0" collapsed="false">
      <c r="A37" s="0" t="s">
        <v>76</v>
      </c>
      <c r="B37" s="0" t="n">
        <v>1</v>
      </c>
      <c r="C37" s="13" t="n">
        <v>87.5494332455856</v>
      </c>
      <c r="D37" s="0" t="n">
        <v>0</v>
      </c>
      <c r="E37" s="13" t="n">
        <v>0</v>
      </c>
    </row>
    <row r="38" customFormat="false" ht="15" hidden="false" customHeight="false" outlineLevel="0" collapsed="false">
      <c r="A38" s="0" t="s">
        <v>77</v>
      </c>
      <c r="B38" s="0" t="n">
        <v>1</v>
      </c>
      <c r="C38" s="13" t="n">
        <v>119.751661798469</v>
      </c>
      <c r="D38" s="0" t="n">
        <v>0</v>
      </c>
      <c r="E38" s="13" t="n">
        <v>0</v>
      </c>
    </row>
    <row r="39" customFormat="false" ht="15" hidden="false" customHeight="false" outlineLevel="0" collapsed="false">
      <c r="A39" s="0" t="s">
        <v>78</v>
      </c>
      <c r="B39" s="0" t="n">
        <v>1</v>
      </c>
      <c r="C39" s="13" t="n">
        <v>47.7083408459846</v>
      </c>
      <c r="D39" s="0" t="n">
        <v>0</v>
      </c>
      <c r="E39" s="13" t="n">
        <v>0</v>
      </c>
    </row>
    <row r="40" customFormat="false" ht="15" hidden="false" customHeight="false" outlineLevel="0" collapsed="false">
      <c r="A40" s="0" t="s">
        <v>79</v>
      </c>
      <c r="B40" s="0" t="n">
        <v>1</v>
      </c>
      <c r="C40" s="13" t="n">
        <v>33.1337973146779</v>
      </c>
      <c r="D40" s="0" t="n">
        <v>0</v>
      </c>
      <c r="E40" s="13" t="n">
        <v>0</v>
      </c>
    </row>
    <row r="41" customFormat="false" ht="15" hidden="false" customHeight="false" outlineLevel="0" collapsed="false">
      <c r="A41" s="0" t="s">
        <v>85</v>
      </c>
      <c r="B41" s="0" t="n">
        <f aca="false">SUM(B4:B40)</f>
        <v>24</v>
      </c>
      <c r="C41" s="13" t="n">
        <f aca="false">SUM(C4:C40)</f>
        <v>4047.18546031517</v>
      </c>
      <c r="D41" s="0" t="n">
        <f aca="false">SUM(D4:D40)</f>
        <v>14</v>
      </c>
      <c r="E41" s="13" t="n">
        <f aca="false">SUM(E4:E40)</f>
        <v>1360.48633394637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015625" defaultRowHeight="15" customHeight="true" zeroHeight="false" outlineLevelRow="0" outlineLevelCol="0"/>
  <cols>
    <col collapsed="false" customWidth="true" hidden="false" outlineLevel="0" max="1" min="1" style="0" width="25"/>
    <col collapsed="false" customWidth="true" hidden="false" outlineLevel="0" max="5" min="2" style="0" width="15"/>
  </cols>
  <sheetData>
    <row r="1" customFormat="false" ht="17.35" hidden="false" customHeight="false" outlineLevel="0" collapsed="false">
      <c r="A1" s="4" t="s">
        <v>86</v>
      </c>
    </row>
    <row r="2" customFormat="false" ht="15" hidden="false" customHeight="false" outlineLevel="0" collapsed="false">
      <c r="A2" s="0" t="s">
        <v>82</v>
      </c>
      <c r="B2" s="0" t="n">
        <v>2018</v>
      </c>
      <c r="D2" s="0" t="n">
        <v>2019</v>
      </c>
    </row>
    <row r="3" customFormat="false" ht="15" hidden="false" customHeight="false" outlineLevel="0" collapsed="false">
      <c r="A3" s="6"/>
      <c r="B3" s="6" t="s">
        <v>83</v>
      </c>
      <c r="C3" s="6" t="s">
        <v>84</v>
      </c>
      <c r="D3" s="6" t="s">
        <v>83</v>
      </c>
      <c r="E3" s="6" t="s">
        <v>84</v>
      </c>
    </row>
    <row r="4" customFormat="false" ht="15" hidden="false" customHeight="false" outlineLevel="0" collapsed="false">
      <c r="A4" s="0" t="s">
        <v>29</v>
      </c>
      <c r="B4" s="0" t="n">
        <f aca="false">COUNTIFS(data!$B$2:$B$39,$A4,data!$F$2:$F$39,B$2)</f>
        <v>0</v>
      </c>
      <c r="C4" s="13" t="n">
        <f aca="false">SUMIFS(data!$E$2:$E$39,data!$B$2:$B$39,$A4,data!$F$2:$F$39,B$2)</f>
        <v>0</v>
      </c>
      <c r="D4" s="0" t="n">
        <f aca="false">COUNTIFS(data!$B$2:$B$39,$A4,data!$F$2:$F$39,D$2)</f>
        <v>1</v>
      </c>
      <c r="E4" s="13" t="n">
        <f aca="false">SUMIFS(data!$E$2:$E$39,data!$B$2:$B$39,$A4,data!$F$2:$F$39,D$2)</f>
        <v>140.354356736745</v>
      </c>
    </row>
    <row r="5" customFormat="false" ht="15" hidden="false" customHeight="false" outlineLevel="0" collapsed="false">
      <c r="A5" s="0" t="s">
        <v>32</v>
      </c>
      <c r="B5" s="0" t="n">
        <f aca="false">COUNTIFS(data!$B$2:$B$39,$A5,data!$F$2:$F$39,B$2)</f>
        <v>1</v>
      </c>
      <c r="C5" s="13" t="n">
        <f aca="false">SUMIFS(data!$E$2:$E$39,data!$B$2:$B$39,$A5,data!$F$2:$F$39,B$2)</f>
        <v>45.0759078287837</v>
      </c>
      <c r="D5" s="0" t="n">
        <f aca="false">COUNTIFS(data!$B$2:$B$39,$A5,data!$F$2:$F$39,D$2)</f>
        <v>0</v>
      </c>
      <c r="E5" s="13" t="n">
        <f aca="false">SUMIFS(data!$E$2:$E$39,data!$B$2:$B$39,$A5,data!$F$2:$F$39,D$2)</f>
        <v>0</v>
      </c>
    </row>
    <row r="6" customFormat="false" ht="15" hidden="false" customHeight="false" outlineLevel="0" collapsed="false">
      <c r="A6" s="0" t="s">
        <v>33</v>
      </c>
      <c r="B6" s="0" t="n">
        <f aca="false">COUNTIFS(data!$B$2:$B$39,$A6,data!$F$2:$F$39,B$2)</f>
        <v>0</v>
      </c>
      <c r="C6" s="13" t="n">
        <f aca="false">SUMIFS(data!$E$2:$E$39,data!$B$2:$B$39,$A6,data!$F$2:$F$39,B$2)</f>
        <v>0</v>
      </c>
      <c r="D6" s="0" t="n">
        <f aca="false">COUNTIFS(data!$B$2:$B$39,$A6,data!$F$2:$F$39,D$2)</f>
        <v>1</v>
      </c>
      <c r="E6" s="13" t="n">
        <f aca="false">SUMIFS(data!$E$2:$E$39,data!$B$2:$B$39,$A6,data!$F$2:$F$39,D$2)</f>
        <v>36.06</v>
      </c>
    </row>
    <row r="7" customFormat="false" ht="15" hidden="false" customHeight="false" outlineLevel="0" collapsed="false">
      <c r="A7" s="0" t="s">
        <v>34</v>
      </c>
      <c r="B7" s="0" t="n">
        <f aca="false">COUNTIFS(data!$B$2:$B$39,$A7,data!$F$2:$F$39,B$2)</f>
        <v>1</v>
      </c>
      <c r="C7" s="13" t="n">
        <f aca="false">SUMIFS(data!$E$2:$E$39,data!$B$2:$B$39,$A7,data!$F$2:$F$39,B$2)</f>
        <v>16.455711418028</v>
      </c>
      <c r="D7" s="0" t="n">
        <f aca="false">COUNTIFS(data!$B$2:$B$39,$A7,data!$F$2:$F$39,D$2)</f>
        <v>0</v>
      </c>
      <c r="E7" s="13" t="n">
        <f aca="false">SUMIFS(data!$E$2:$E$39,data!$B$2:$B$39,$A7,data!$F$2:$F$39,D$2)</f>
        <v>0</v>
      </c>
    </row>
    <row r="8" customFormat="false" ht="15" hidden="false" customHeight="false" outlineLevel="0" collapsed="false">
      <c r="A8" s="0" t="s">
        <v>36</v>
      </c>
      <c r="B8" s="0" t="n">
        <f aca="false">COUNTIFS(data!$B$2:$B$39,$A8,data!$F$2:$F$39,B$2)</f>
        <v>0</v>
      </c>
      <c r="C8" s="13" t="n">
        <f aca="false">SUMIFS(data!$E$2:$E$39,data!$B$2:$B$39,$A8,data!$F$2:$F$39,B$2)</f>
        <v>0</v>
      </c>
      <c r="D8" s="0" t="n">
        <f aca="false">COUNTIFS(data!$B$2:$B$39,$A8,data!$F$2:$F$39,D$2)</f>
        <v>1</v>
      </c>
      <c r="E8" s="13" t="n">
        <f aca="false">SUMIFS(data!$E$2:$E$39,data!$B$2:$B$39,$A8,data!$F$2:$F$39,D$2)</f>
        <v>24.2027574435349</v>
      </c>
    </row>
    <row r="9" customFormat="false" ht="15" hidden="false" customHeight="false" outlineLevel="0" collapsed="false">
      <c r="A9" s="0" t="s">
        <v>38</v>
      </c>
      <c r="B9" s="0" t="n">
        <f aca="false">COUNTIFS(data!$B$2:$B$39,$A9,data!$F$2:$F$39,B$2)</f>
        <v>1</v>
      </c>
      <c r="C9" s="13" t="n">
        <f aca="false">SUMIFS(data!$E$2:$E$39,data!$B$2:$B$39,$A9,data!$F$2:$F$39,B$2)</f>
        <v>106.475304412631</v>
      </c>
      <c r="D9" s="0" t="n">
        <f aca="false">COUNTIFS(data!$B$2:$B$39,$A9,data!$F$2:$F$39,D$2)</f>
        <v>0</v>
      </c>
      <c r="E9" s="13" t="n">
        <f aca="false">SUMIFS(data!$E$2:$E$39,data!$B$2:$B$39,$A9,data!$F$2:$F$39,D$2)</f>
        <v>0</v>
      </c>
    </row>
    <row r="10" customFormat="false" ht="15" hidden="false" customHeight="false" outlineLevel="0" collapsed="false">
      <c r="A10" s="0" t="s">
        <v>40</v>
      </c>
      <c r="B10" s="0" t="n">
        <f aca="false">COUNTIFS(data!$B$2:$B$39,$A10,data!$F$2:$F$39,B$2)</f>
        <v>1</v>
      </c>
      <c r="C10" s="13" t="n">
        <f aca="false">SUMIFS(data!$E$2:$E$39,data!$B$2:$B$39,$A10,data!$F$2:$F$39,B$2)</f>
        <v>237.147356147753</v>
      </c>
      <c r="D10" s="0" t="n">
        <f aca="false">COUNTIFS(data!$B$2:$B$39,$A10,data!$F$2:$F$39,D$2)</f>
        <v>0</v>
      </c>
      <c r="E10" s="13" t="n">
        <f aca="false">SUMIFS(data!$E$2:$E$39,data!$B$2:$B$39,$A10,data!$F$2:$F$39,D$2)</f>
        <v>0</v>
      </c>
    </row>
    <row r="11" customFormat="false" ht="15" hidden="false" customHeight="false" outlineLevel="0" collapsed="false">
      <c r="A11" s="0" t="s">
        <v>42</v>
      </c>
      <c r="B11" s="0" t="n">
        <f aca="false">COUNTIFS(data!$B$2:$B$39,$A11,data!$F$2:$F$39,B$2)</f>
        <v>1</v>
      </c>
      <c r="C11" s="13" t="n">
        <f aca="false">SUMIFS(data!$E$2:$E$39,data!$B$2:$B$39,$A11,data!$F$2:$F$39,B$2)</f>
        <v>145.192504177034</v>
      </c>
      <c r="D11" s="0" t="n">
        <f aca="false">COUNTIFS(data!$B$2:$B$39,$A11,data!$F$2:$F$39,D$2)</f>
        <v>0</v>
      </c>
      <c r="E11" s="13" t="n">
        <f aca="false">SUMIFS(data!$E$2:$E$39,data!$B$2:$B$39,$A11,data!$F$2:$F$39,D$2)</f>
        <v>0</v>
      </c>
    </row>
    <row r="12" customFormat="false" ht="15" hidden="false" customHeight="false" outlineLevel="0" collapsed="false">
      <c r="A12" s="0" t="s">
        <v>44</v>
      </c>
      <c r="B12" s="0" t="n">
        <f aca="false">COUNTIFS(data!$B$2:$B$39,$A12,data!$F$2:$F$39,B$2)</f>
        <v>0</v>
      </c>
      <c r="C12" s="13" t="n">
        <f aca="false">SUMIFS(data!$E$2:$E$39,data!$B$2:$B$39,$A12,data!$F$2:$F$39,B$2)</f>
        <v>0</v>
      </c>
      <c r="D12" s="0" t="n">
        <f aca="false">COUNTIFS(data!$B$2:$B$39,$A12,data!$F$2:$F$39,D$2)</f>
        <v>1</v>
      </c>
      <c r="E12" s="13" t="n">
        <f aca="false">SUMIFS(data!$E$2:$E$39,data!$B$2:$B$39,$A12,data!$F$2:$F$39,D$2)</f>
        <v>55.9422066760425</v>
      </c>
    </row>
    <row r="13" customFormat="false" ht="15" hidden="false" customHeight="false" outlineLevel="0" collapsed="false">
      <c r="A13" s="0" t="s">
        <v>45</v>
      </c>
      <c r="B13" s="0" t="n">
        <f aca="false">COUNTIFS(data!$B$2:$B$39,$A13,data!$F$2:$F$39,B$2)</f>
        <v>1</v>
      </c>
      <c r="C13" s="13" t="n">
        <f aca="false">SUMIFS(data!$E$2:$E$39,data!$B$2:$B$39,$A13,data!$F$2:$F$39,B$2)</f>
        <v>84.2138160662556</v>
      </c>
      <c r="D13" s="0" t="n">
        <f aca="false">COUNTIFS(data!$B$2:$B$39,$A13,data!$F$2:$F$39,D$2)</f>
        <v>0</v>
      </c>
      <c r="E13" s="13" t="n">
        <f aca="false">SUMIFS(data!$E$2:$E$39,data!$B$2:$B$39,$A13,data!$F$2:$F$39,D$2)</f>
        <v>0</v>
      </c>
    </row>
    <row r="14" customFormat="false" ht="15" hidden="false" customHeight="false" outlineLevel="0" collapsed="false">
      <c r="A14" s="0" t="s">
        <v>46</v>
      </c>
      <c r="B14" s="0" t="n">
        <f aca="false">COUNTIFS(data!$B$2:$B$39,$A14,data!$F$2:$F$39,B$2)</f>
        <v>1</v>
      </c>
      <c r="C14" s="13" t="n">
        <f aca="false">SUMIFS(data!$E$2:$E$39,data!$B$2:$B$39,$A14,data!$F$2:$F$39,B$2)</f>
        <v>435.577512531102</v>
      </c>
      <c r="D14" s="0" t="n">
        <f aca="false">COUNTIFS(data!$B$2:$B$39,$A14,data!$F$2:$F$39,D$2)</f>
        <v>0</v>
      </c>
      <c r="E14" s="13" t="n">
        <f aca="false">SUMIFS(data!$E$2:$E$39,data!$B$2:$B$39,$A14,data!$F$2:$F$39,D$2)</f>
        <v>0</v>
      </c>
    </row>
    <row r="15" customFormat="false" ht="15" hidden="false" customHeight="false" outlineLevel="0" collapsed="false">
      <c r="A15" s="0" t="s">
        <v>47</v>
      </c>
      <c r="B15" s="0" t="n">
        <f aca="false">COUNTIFS(data!$B$2:$B$39,$A15,data!$F$2:$F$39,B$2)</f>
        <v>0</v>
      </c>
      <c r="C15" s="13" t="n">
        <f aca="false">SUMIFS(data!$E$2:$E$39,data!$B$2:$B$39,$A15,data!$F$2:$F$39,B$2)</f>
        <v>0</v>
      </c>
      <c r="D15" s="0" t="n">
        <f aca="false">COUNTIFS(data!$B$2:$B$39,$A15,data!$F$2:$F$39,D$2)</f>
        <v>1</v>
      </c>
      <c r="E15" s="13" t="n">
        <f aca="false">SUMIFS(data!$E$2:$E$39,data!$B$2:$B$39,$A15,data!$F$2:$F$39,D$2)</f>
        <v>203.268303823639</v>
      </c>
    </row>
    <row r="16" customFormat="false" ht="15" hidden="false" customHeight="false" outlineLevel="0" collapsed="false">
      <c r="A16" s="0" t="s">
        <v>48</v>
      </c>
      <c r="B16" s="0" t="n">
        <f aca="false">COUNTIFS(data!$B$2:$B$39,$A16,data!$F$2:$F$39,B$2)</f>
        <v>0</v>
      </c>
      <c r="C16" s="13" t="n">
        <f aca="false">SUMIFS(data!$E$2:$E$39,data!$B$2:$B$39,$A16,data!$F$2:$F$39,B$2)</f>
        <v>0</v>
      </c>
      <c r="D16" s="0" t="n">
        <f aca="false">COUNTIFS(data!$B$2:$B$39,$A16,data!$F$2:$F$39,D$2)</f>
        <v>1</v>
      </c>
      <c r="E16" s="13" t="n">
        <f aca="false">SUMIFS(data!$E$2:$E$39,data!$B$2:$B$39,$A16,data!$F$2:$F$39,D$2)</f>
        <v>300.061303234647</v>
      </c>
    </row>
    <row r="17" customFormat="false" ht="15" hidden="false" customHeight="false" outlineLevel="0" collapsed="false">
      <c r="A17" s="0" t="s">
        <v>49</v>
      </c>
      <c r="B17" s="0" t="n">
        <f aca="false">COUNTIFS(data!$B$2:$B$39,$A17,data!$F$2:$F$39,B$2)</f>
        <v>0</v>
      </c>
      <c r="C17" s="13" t="n">
        <f aca="false">SUMIFS(data!$E$2:$E$39,data!$B$2:$B$39,$A17,data!$F$2:$F$39,B$2)</f>
        <v>0</v>
      </c>
      <c r="D17" s="0" t="n">
        <f aca="false">COUNTIFS(data!$B$2:$B$39,$A17,data!$F$2:$F$39,D$2)</f>
        <v>1</v>
      </c>
      <c r="E17" s="13" t="n">
        <f aca="false">SUMIFS(data!$E$2:$E$39,data!$B$2:$B$39,$A17,data!$F$2:$F$39,D$2)</f>
        <v>3.60607262630269</v>
      </c>
    </row>
    <row r="18" customFormat="false" ht="15" hidden="false" customHeight="false" outlineLevel="0" collapsed="false">
      <c r="A18" s="0" t="s">
        <v>51</v>
      </c>
      <c r="B18" s="0" t="n">
        <f aca="false">COUNTIFS(data!$B$2:$B$39,$A18,data!$F$2:$F$39,B$2)</f>
        <v>1</v>
      </c>
      <c r="C18" s="13" t="n">
        <f aca="false">SUMIFS(data!$E$2:$E$39,data!$B$2:$B$39,$A18,data!$F$2:$F$39,B$2)</f>
        <v>77.8911687281382</v>
      </c>
      <c r="D18" s="0" t="n">
        <f aca="false">COUNTIFS(data!$B$2:$B$39,$A18,data!$F$2:$F$39,D$2)</f>
        <v>0</v>
      </c>
      <c r="E18" s="13" t="n">
        <f aca="false">SUMIFS(data!$E$2:$E$39,data!$B$2:$B$39,$A18,data!$F$2:$F$39,D$2)</f>
        <v>0</v>
      </c>
    </row>
    <row r="19" customFormat="false" ht="15" hidden="false" customHeight="false" outlineLevel="0" collapsed="false">
      <c r="A19" s="0" t="s">
        <v>53</v>
      </c>
      <c r="B19" s="0" t="n">
        <f aca="false">COUNTIFS(data!$B$2:$B$39,$A19,data!$F$2:$F$39,B$2)</f>
        <v>1</v>
      </c>
      <c r="C19" s="13" t="n">
        <f aca="false">SUMIFS(data!$E$2:$E$39,data!$B$2:$B$39,$A19,data!$F$2:$F$39,B$2)</f>
        <v>193.393674948614</v>
      </c>
      <c r="D19" s="0" t="n">
        <f aca="false">COUNTIFS(data!$B$2:$B$39,$A19,data!$F$2:$F$39,D$2)</f>
        <v>0</v>
      </c>
      <c r="E19" s="13" t="n">
        <f aca="false">SUMIFS(data!$E$2:$E$39,data!$B$2:$B$39,$A19,data!$F$2:$F$39,D$2)</f>
        <v>0</v>
      </c>
    </row>
    <row r="20" customFormat="false" ht="15" hidden="false" customHeight="false" outlineLevel="0" collapsed="false">
      <c r="A20" s="0" t="s">
        <v>54</v>
      </c>
      <c r="B20" s="0" t="n">
        <f aca="false">COUNTIFS(data!$B$2:$B$39,$A20,data!$F$2:$F$39,B$2)</f>
        <v>1</v>
      </c>
      <c r="C20" s="13" t="n">
        <f aca="false">SUMIFS(data!$E$2:$E$39,data!$B$2:$B$39,$A20,data!$F$2:$F$39,B$2)</f>
        <v>1254.48054523818</v>
      </c>
      <c r="D20" s="0" t="n">
        <f aca="false">COUNTIFS(data!$B$2:$B$39,$A20,data!$F$2:$F$39,D$2)</f>
        <v>0</v>
      </c>
      <c r="E20" s="13" t="n">
        <f aca="false">SUMIFS(data!$E$2:$E$39,data!$B$2:$B$39,$A20,data!$F$2:$F$39,D$2)</f>
        <v>0</v>
      </c>
    </row>
    <row r="21" customFormat="false" ht="15" hidden="false" customHeight="false" outlineLevel="0" collapsed="false">
      <c r="A21" s="0" t="s">
        <v>55</v>
      </c>
      <c r="B21" s="0" t="n">
        <f aca="false">COUNTIFS(data!$B$2:$B$39,$A21,data!$F$2:$F$39,B$2)</f>
        <v>0</v>
      </c>
      <c r="C21" s="13" t="n">
        <f aca="false">SUMIFS(data!$E$2:$E$39,data!$B$2:$B$39,$A21,data!$F$2:$F$39,B$2)</f>
        <v>0</v>
      </c>
      <c r="D21" s="0" t="n">
        <f aca="false">COUNTIFS(data!$B$2:$B$39,$A21,data!$F$2:$F$39,D$2)</f>
        <v>1</v>
      </c>
      <c r="E21" s="13" t="n">
        <f aca="false">SUMIFS(data!$E$2:$E$39,data!$B$2:$B$39,$A21,data!$F$2:$F$39,D$2)</f>
        <v>38.9455843640691</v>
      </c>
    </row>
    <row r="22" customFormat="false" ht="15" hidden="false" customHeight="false" outlineLevel="0" collapsed="false">
      <c r="A22" s="0" t="s">
        <v>57</v>
      </c>
      <c r="B22" s="0" t="n">
        <f aca="false">COUNTIFS(data!$B$2:$B$39,$A22,data!$F$2:$F$39,B$2)</f>
        <v>0</v>
      </c>
      <c r="C22" s="13" t="n">
        <f aca="false">SUMIFS(data!$E$2:$E$39,data!$B$2:$B$39,$A22,data!$F$2:$F$39,B$2)</f>
        <v>0</v>
      </c>
      <c r="D22" s="0" t="n">
        <f aca="false">COUNTIFS(data!$B$2:$B$39,$A22,data!$F$2:$F$39,D$2)</f>
        <v>1</v>
      </c>
      <c r="E22" s="13" t="n">
        <f aca="false">SUMIFS(data!$E$2:$E$39,data!$B$2:$B$39,$A22,data!$F$2:$F$39,D$2)</f>
        <v>93.0366737586095</v>
      </c>
    </row>
    <row r="23" customFormat="false" ht="15" hidden="false" customHeight="false" outlineLevel="0" collapsed="false">
      <c r="A23" s="0" t="s">
        <v>58</v>
      </c>
      <c r="B23" s="0" t="n">
        <f aca="false">COUNTIFS(data!$B$2:$B$39,$A23,data!$F$2:$F$39,B$2)</f>
        <v>0</v>
      </c>
      <c r="C23" s="13" t="n">
        <f aca="false">SUMIFS(data!$E$2:$E$39,data!$B$2:$B$39,$A23,data!$F$2:$F$39,B$2)</f>
        <v>0</v>
      </c>
      <c r="D23" s="0" t="n">
        <f aca="false">COUNTIFS(data!$B$2:$B$39,$A23,data!$F$2:$F$39,D$2)</f>
        <v>1</v>
      </c>
      <c r="E23" s="13" t="n">
        <f aca="false">SUMIFS(data!$E$2:$E$39,data!$B$2:$B$39,$A23,data!$F$2:$F$39,D$2)</f>
        <v>62.7276333345354</v>
      </c>
    </row>
    <row r="24" customFormat="false" ht="15" hidden="false" customHeight="false" outlineLevel="0" collapsed="false">
      <c r="A24" s="0" t="s">
        <v>59</v>
      </c>
      <c r="B24" s="0" t="n">
        <f aca="false">COUNTIFS(data!$B$2:$B$39,$A24,data!$F$2:$F$39,B$2)</f>
        <v>1</v>
      </c>
      <c r="C24" s="13" t="n">
        <f aca="false">SUMIFS(data!$E$2:$E$39,data!$B$2:$B$39,$A24,data!$F$2:$F$39,B$2)</f>
        <v>36.5956270359285</v>
      </c>
      <c r="D24" s="0" t="n">
        <f aca="false">COUNTIFS(data!$B$2:$B$39,$A24,data!$F$2:$F$39,D$2)</f>
        <v>0</v>
      </c>
      <c r="E24" s="13" t="n">
        <f aca="false">SUMIFS(data!$E$2:$E$39,data!$B$2:$B$39,$A24,data!$F$2:$F$39,D$2)</f>
        <v>0</v>
      </c>
    </row>
    <row r="25" customFormat="false" ht="15" hidden="false" customHeight="false" outlineLevel="0" collapsed="false">
      <c r="A25" s="0" t="s">
        <v>60</v>
      </c>
      <c r="B25" s="0" t="n">
        <f aca="false">COUNTIFS(data!$B$2:$B$39,$A25,data!$F$2:$F$39,B$2)</f>
        <v>1</v>
      </c>
      <c r="C25" s="13" t="n">
        <f aca="false">SUMIFS(data!$E$2:$E$39,data!$B$2:$B$39,$A25,data!$F$2:$F$39,B$2)</f>
        <v>365.98031084346</v>
      </c>
      <c r="D25" s="0" t="n">
        <f aca="false">COUNTIFS(data!$B$2:$B$39,$A25,data!$F$2:$F$39,D$2)</f>
        <v>0</v>
      </c>
      <c r="E25" s="13" t="n">
        <f aca="false">SUMIFS(data!$E$2:$E$39,data!$B$2:$B$39,$A25,data!$F$2:$F$39,D$2)</f>
        <v>0</v>
      </c>
    </row>
    <row r="26" customFormat="false" ht="15" hidden="false" customHeight="false" outlineLevel="0" collapsed="false">
      <c r="A26" s="0" t="s">
        <v>61</v>
      </c>
      <c r="B26" s="0" t="n">
        <f aca="false">COUNTIFS(data!$B$2:$B$39,$A26,data!$F$2:$F$39,B$2)</f>
        <v>1</v>
      </c>
      <c r="C26" s="13" t="n">
        <f aca="false">SUMIFS(data!$E$2:$E$39,data!$B$2:$B$39,$A26,data!$F$2:$F$39,B$2)</f>
        <v>470.41818422223</v>
      </c>
      <c r="D26" s="0" t="n">
        <f aca="false">COUNTIFS(data!$B$2:$B$39,$A26,data!$F$2:$F$39,D$2)</f>
        <v>0</v>
      </c>
      <c r="E26" s="13" t="n">
        <f aca="false">SUMIFS(data!$E$2:$E$39,data!$B$2:$B$39,$A26,data!$F$2:$F$39,D$2)</f>
        <v>0</v>
      </c>
    </row>
    <row r="27" customFormat="false" ht="15" hidden="false" customHeight="false" outlineLevel="0" collapsed="false">
      <c r="A27" s="0" t="s">
        <v>63</v>
      </c>
      <c r="B27" s="0" t="n">
        <f aca="false">COUNTIFS(data!$B$2:$B$39,$A27,data!$F$2:$F$39,B$2)</f>
        <v>1</v>
      </c>
      <c r="C27" s="13" t="n">
        <f aca="false">SUMIFS(data!$E$2:$E$39,data!$B$2:$B$39,$A27,data!$F$2:$F$39,B$2)</f>
        <v>5.52330123928696</v>
      </c>
      <c r="D27" s="0" t="n">
        <f aca="false">COUNTIFS(data!$B$2:$B$39,$A27,data!$F$2:$F$39,D$2)</f>
        <v>1</v>
      </c>
      <c r="E27" s="13" t="n">
        <f aca="false">SUMIFS(data!$E$2:$E$39,data!$B$2:$B$39,$A27,data!$F$2:$F$39,D$2)</f>
        <v>7.54871203106031</v>
      </c>
    </row>
    <row r="28" customFormat="false" ht="15" hidden="false" customHeight="false" outlineLevel="0" collapsed="false">
      <c r="A28" s="0" t="s">
        <v>64</v>
      </c>
      <c r="B28" s="0" t="n">
        <f aca="false">COUNTIFS(data!$B$2:$B$39,$A28,data!$F$2:$F$39,B$2)</f>
        <v>1</v>
      </c>
      <c r="C28" s="13" t="n">
        <f aca="false">SUMIFS(data!$E$2:$E$39,data!$B$2:$B$39,$A28,data!$F$2:$F$39,B$2)</f>
        <v>25.1703869315928</v>
      </c>
      <c r="D28" s="0" t="n">
        <f aca="false">COUNTIFS(data!$B$2:$B$39,$A28,data!$F$2:$F$39,D$2)</f>
        <v>0</v>
      </c>
      <c r="E28" s="13" t="n">
        <f aca="false">SUMIFS(data!$E$2:$E$39,data!$B$2:$B$39,$A28,data!$F$2:$F$39,D$2)</f>
        <v>0</v>
      </c>
    </row>
    <row r="29" customFormat="false" ht="15" hidden="false" customHeight="false" outlineLevel="0" collapsed="false">
      <c r="A29" s="0" t="s">
        <v>66</v>
      </c>
      <c r="B29" s="0" t="n">
        <f aca="false">COUNTIFS(data!$B$2:$B$39,$A29,data!$F$2:$F$39,B$2)</f>
        <v>0</v>
      </c>
      <c r="C29" s="13" t="n">
        <f aca="false">SUMIFS(data!$E$2:$E$39,data!$B$2:$B$39,$A29,data!$F$2:$F$39,B$2)</f>
        <v>0</v>
      </c>
      <c r="D29" s="0" t="n">
        <f aca="false">COUNTIFS(data!$B$2:$B$39,$A29,data!$F$2:$F$39,D$2)</f>
        <v>1</v>
      </c>
      <c r="E29" s="13" t="n">
        <f aca="false">SUMIFS(data!$E$2:$E$39,data!$B$2:$B$39,$A29,data!$F$2:$F$39,D$2)</f>
        <v>20.3322394913034</v>
      </c>
    </row>
    <row r="30" customFormat="false" ht="15" hidden="false" customHeight="false" outlineLevel="0" collapsed="false">
      <c r="A30" s="0" t="s">
        <v>67</v>
      </c>
      <c r="B30" s="0" t="n">
        <f aca="false">COUNTIFS(data!$B$2:$B$39,$A30,data!$F$2:$F$39,B$2)</f>
        <v>0</v>
      </c>
      <c r="C30" s="13" t="n">
        <f aca="false">SUMIFS(data!$E$2:$E$39,data!$B$2:$B$39,$A30,data!$F$2:$F$39,B$2)</f>
        <v>0</v>
      </c>
      <c r="D30" s="0" t="n">
        <f aca="false">COUNTIFS(data!$B$2:$B$39,$A30,data!$F$2:$F$39,D$2)</f>
        <v>1</v>
      </c>
      <c r="E30" s="13" t="n">
        <f aca="false">SUMIFS(data!$E$2:$E$39,data!$B$2:$B$39,$A30,data!$F$2:$F$39,D$2)</f>
        <v>5.61345305494453</v>
      </c>
    </row>
    <row r="31" customFormat="false" ht="15" hidden="false" customHeight="false" outlineLevel="0" collapsed="false">
      <c r="A31" s="0" t="s">
        <v>68</v>
      </c>
      <c r="B31" s="0" t="n">
        <f aca="false">COUNTIFS(data!$B$2:$B$39,$A31,data!$F$2:$F$39,B$2)</f>
        <v>1</v>
      </c>
      <c r="C31" s="13" t="n">
        <f aca="false">SUMIFS(data!$E$2:$E$39,data!$B$2:$B$39,$A31,data!$F$2:$F$39,B$2)</f>
        <v>9.49599124926376</v>
      </c>
      <c r="D31" s="0" t="n">
        <f aca="false">COUNTIFS(data!$B$2:$B$39,$A31,data!$F$2:$F$39,D$2)</f>
        <v>0</v>
      </c>
      <c r="E31" s="13" t="n">
        <f aca="false">SUMIFS(data!$E$2:$E$39,data!$B$2:$B$39,$A31,data!$F$2:$F$39,D$2)</f>
        <v>0</v>
      </c>
    </row>
    <row r="32" customFormat="false" ht="15" hidden="false" customHeight="false" outlineLevel="0" collapsed="false">
      <c r="A32" s="0" t="s">
        <v>69</v>
      </c>
      <c r="B32" s="0" t="n">
        <f aca="false">COUNTIFS(data!$B$2:$B$39,$A32,data!$F$2:$F$39,B$2)</f>
        <v>1</v>
      </c>
      <c r="C32" s="13" t="n">
        <f aca="false">SUMIFS(data!$E$2:$E$39,data!$B$2:$B$39,$A32,data!$F$2:$F$39,B$2)</f>
        <v>18.3909703941437</v>
      </c>
      <c r="D32" s="0" t="n">
        <f aca="false">COUNTIFS(data!$B$2:$B$39,$A32,data!$F$2:$F$39,D$2)</f>
        <v>0</v>
      </c>
      <c r="E32" s="13" t="n">
        <f aca="false">SUMIFS(data!$E$2:$E$39,data!$B$2:$B$39,$A32,data!$F$2:$F$39,D$2)</f>
        <v>0</v>
      </c>
    </row>
    <row r="33" customFormat="false" ht="15" hidden="false" customHeight="false" outlineLevel="0" collapsed="false">
      <c r="A33" s="0" t="s">
        <v>70</v>
      </c>
      <c r="B33" s="0" t="n">
        <f aca="false">COUNTIFS(data!$B$2:$B$39,$A33,data!$F$2:$F$39,B$2)</f>
        <v>1</v>
      </c>
      <c r="C33" s="13" t="n">
        <f aca="false">SUMIFS(data!$E$2:$E$39,data!$B$2:$B$39,$A33,data!$F$2:$F$39,B$2)</f>
        <v>12.5791833447526</v>
      </c>
      <c r="D33" s="0" t="n">
        <f aca="false">COUNTIFS(data!$B$2:$B$39,$A33,data!$F$2:$F$39,D$2)</f>
        <v>0</v>
      </c>
      <c r="E33" s="13" t="n">
        <f aca="false">SUMIFS(data!$E$2:$E$39,data!$B$2:$B$39,$A33,data!$F$2:$F$39,D$2)</f>
        <v>0</v>
      </c>
    </row>
    <row r="34" customFormat="false" ht="15" hidden="false" customHeight="false" outlineLevel="0" collapsed="false">
      <c r="A34" s="0" t="s">
        <v>73</v>
      </c>
      <c r="B34" s="0" t="n">
        <f aca="false">COUNTIFS(data!$B$2:$B$39,$A34,data!$F$2:$F$39,B$2)</f>
        <v>1</v>
      </c>
      <c r="C34" s="13" t="n">
        <f aca="false">SUMIFS(data!$E$2:$E$39,data!$B$2:$B$39,$A34,data!$F$2:$F$39,B$2)</f>
        <v>132.871756037167</v>
      </c>
      <c r="D34" s="0" t="n">
        <f aca="false">COUNTIFS(data!$B$2:$B$39,$A34,data!$F$2:$F$39,D$2)</f>
        <v>0</v>
      </c>
      <c r="E34" s="13" t="n">
        <f aca="false">SUMIFS(data!$E$2:$E$39,data!$B$2:$B$39,$A34,data!$F$2:$F$39,D$2)</f>
        <v>0</v>
      </c>
    </row>
    <row r="35" customFormat="false" ht="15" hidden="false" customHeight="false" outlineLevel="0" collapsed="false">
      <c r="A35" s="0" t="s">
        <v>74</v>
      </c>
      <c r="B35" s="0" t="n">
        <f aca="false">COUNTIFS(data!$B$2:$B$39,$A35,data!$F$2:$F$39,B$2)</f>
        <v>1</v>
      </c>
      <c r="C35" s="13" t="n">
        <f aca="false">SUMIFS(data!$E$2:$E$39,data!$B$2:$B$39,$A35,data!$F$2:$F$39,B$2)</f>
        <v>86.1130143161083</v>
      </c>
      <c r="D35" s="0" t="n">
        <f aca="false">COUNTIFS(data!$B$2:$B$39,$A35,data!$F$2:$F$39,D$2)</f>
        <v>0</v>
      </c>
      <c r="E35" s="13" t="n">
        <f aca="false">SUMIFS(data!$E$2:$E$39,data!$B$2:$B$39,$A35,data!$F$2:$F$39,D$2)</f>
        <v>0</v>
      </c>
    </row>
    <row r="36" customFormat="false" ht="15" hidden="false" customHeight="false" outlineLevel="0" collapsed="false">
      <c r="A36" s="0" t="s">
        <v>75</v>
      </c>
      <c r="B36" s="0" t="n">
        <f aca="false">COUNTIFS(data!$B$2:$B$39,$A36,data!$F$2:$F$39,B$2)</f>
        <v>0</v>
      </c>
      <c r="C36" s="13" t="n">
        <f aca="false">SUMIFS(data!$E$2:$E$39,data!$B$2:$B$39,$A36,data!$F$2:$F$39,B$2)</f>
        <v>0</v>
      </c>
      <c r="D36" s="0" t="n">
        <f aca="false">COUNTIFS(data!$B$2:$B$39,$A36,data!$F$2:$F$39,D$2)</f>
        <v>1</v>
      </c>
      <c r="E36" s="13" t="n">
        <f aca="false">SUMIFS(data!$E$2:$E$39,data!$B$2:$B$39,$A36,data!$F$2:$F$39,D$2)</f>
        <v>368.787037370933</v>
      </c>
    </row>
    <row r="37" customFormat="false" ht="15" hidden="false" customHeight="false" outlineLevel="0" collapsed="false">
      <c r="A37" s="0" t="s">
        <v>76</v>
      </c>
      <c r="B37" s="0" t="n">
        <f aca="false">COUNTIFS(data!$B$2:$B$39,$A37,data!$F$2:$F$39,B$2)</f>
        <v>1</v>
      </c>
      <c r="C37" s="13" t="n">
        <f aca="false">SUMIFS(data!$E$2:$E$39,data!$B$2:$B$39,$A37,data!$F$2:$F$39,B$2)</f>
        <v>87.5494332455856</v>
      </c>
      <c r="D37" s="0" t="n">
        <f aca="false">COUNTIFS(data!$B$2:$B$39,$A37,data!$F$2:$F$39,D$2)</f>
        <v>0</v>
      </c>
      <c r="E37" s="13" t="n">
        <f aca="false">SUMIFS(data!$E$2:$E$39,data!$B$2:$B$39,$A37,data!$F$2:$F$39,D$2)</f>
        <v>0</v>
      </c>
    </row>
    <row r="38" customFormat="false" ht="15" hidden="false" customHeight="false" outlineLevel="0" collapsed="false">
      <c r="A38" s="0" t="s">
        <v>77</v>
      </c>
      <c r="B38" s="0" t="n">
        <f aca="false">COUNTIFS(data!$B$2:$B$39,$A38,data!$F$2:$F$39,B$2)</f>
        <v>1</v>
      </c>
      <c r="C38" s="13" t="n">
        <f aca="false">SUMIFS(data!$E$2:$E$39,data!$B$2:$B$39,$A38,data!$F$2:$F$39,B$2)</f>
        <v>119.751661798469</v>
      </c>
      <c r="D38" s="0" t="n">
        <f aca="false">COUNTIFS(data!$B$2:$B$39,$A38,data!$F$2:$F$39,D$2)</f>
        <v>0</v>
      </c>
      <c r="E38" s="13" t="n">
        <f aca="false">SUMIFS(data!$E$2:$E$39,data!$B$2:$B$39,$A38,data!$F$2:$F$39,D$2)</f>
        <v>0</v>
      </c>
    </row>
    <row r="39" customFormat="false" ht="15" hidden="false" customHeight="false" outlineLevel="0" collapsed="false">
      <c r="A39" s="0" t="s">
        <v>78</v>
      </c>
      <c r="B39" s="0" t="n">
        <f aca="false">COUNTIFS(data!$B$2:$B$39,$A39,data!$F$2:$F$39,B$2)</f>
        <v>1</v>
      </c>
      <c r="C39" s="13" t="n">
        <f aca="false">SUMIFS(data!$E$2:$E$39,data!$B$2:$B$39,$A39,data!$F$2:$F$39,B$2)</f>
        <v>47.7083408459846</v>
      </c>
      <c r="D39" s="0" t="n">
        <f aca="false">COUNTIFS(data!$B$2:$B$39,$A39,data!$F$2:$F$39,D$2)</f>
        <v>0</v>
      </c>
      <c r="E39" s="13" t="n">
        <f aca="false">SUMIFS(data!$E$2:$E$39,data!$B$2:$B$39,$A39,data!$F$2:$F$39,D$2)</f>
        <v>0</v>
      </c>
    </row>
    <row r="40" customFormat="false" ht="15" hidden="false" customHeight="false" outlineLevel="0" collapsed="false">
      <c r="A40" s="0" t="s">
        <v>79</v>
      </c>
      <c r="B40" s="0" t="n">
        <f aca="false">COUNTIFS(data!$B$2:$B$39,$A40,data!$F$2:$F$39,B$2)</f>
        <v>1</v>
      </c>
      <c r="C40" s="13" t="n">
        <f aca="false">SUMIFS(data!$E$2:$E$39,data!$B$2:$B$39,$A40,data!$F$2:$F$39,B$2)</f>
        <v>33.1337973146779</v>
      </c>
      <c r="D40" s="0" t="n">
        <f aca="false">COUNTIFS(data!$B$2:$B$39,$A40,data!$F$2:$F$39,D$2)</f>
        <v>0</v>
      </c>
      <c r="E40" s="13" t="n">
        <f aca="false">SUMIFS(data!$E$2:$E$39,data!$B$2:$B$39,$A40,data!$F$2:$F$39,D$2)</f>
        <v>0</v>
      </c>
    </row>
    <row r="41" customFormat="false" ht="15" hidden="false" customHeight="false" outlineLevel="0" collapsed="false">
      <c r="A41" s="0" t="s">
        <v>85</v>
      </c>
      <c r="B41" s="0" t="n">
        <f aca="false">SUM(B4:B40)</f>
        <v>24</v>
      </c>
      <c r="C41" s="13" t="n">
        <f aca="false">SUM(C4:C40)</f>
        <v>4047.18546031517</v>
      </c>
      <c r="D41" s="0" t="n">
        <f aca="false">SUM(D4:D40)</f>
        <v>14</v>
      </c>
      <c r="E41" s="13" t="n">
        <f aca="false">SUM(E4:E40)</f>
        <v>1360.48633394637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2003-03-25T12:01:58Z</dcterms:created>
  <dc:creator>Juan</dc:creator>
  <dc:description/>
  <dc:language>en-US</dc:language>
  <cp:lastModifiedBy>Mariam El Masry</cp:lastModifiedBy>
  <cp:lastPrinted>2002-01-29T18:41:44Z</cp:lastPrinted>
  <dcterms:modified xsi:type="dcterms:W3CDTF">2026-10-07T14:22:31Z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